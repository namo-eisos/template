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1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I:\User_Groups_Only\17_EMC_Product_&amp;_Development\Documentations\5_Templates\Measurement_Equipment\Equipment_Keithley_2410\"/>
    </mc:Choice>
  </mc:AlternateContent>
  <xr:revisionPtr revIDLastSave="0" documentId="13_ncr:1_{8AE67DE2-46EF-42DB-8175-3E7805DE491B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Measurement" sheetId="4" r:id="rId1"/>
    <sheet name="VBR&amp;Ileak" sheetId="6" r:id="rId2"/>
    <sheet name="Graphs" sheetId="5" r:id="rId3"/>
  </sheets>
  <externalReferences>
    <externalReference r:id="rId4"/>
  </externalReferences>
  <definedNames>
    <definedName name="_xlnm.Print_Area" localSheetId="0">Measurement!#REF!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6" l="1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AI2" i="6" l="1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A4" i="6"/>
  <c r="A3" i="6"/>
  <c r="A2" i="6"/>
  <c r="C4" i="6"/>
  <c r="E9" i="6" l="1" a="1"/>
  <c r="E9" i="6" s="1"/>
  <c r="C3" i="6"/>
  <c r="B71" i="4"/>
  <c r="B43" i="4"/>
  <c r="B15" i="4"/>
  <c r="D40" i="6" l="1"/>
  <c r="D39" i="6"/>
  <c r="D25" i="6"/>
  <c r="D11" i="6"/>
  <c r="D38" i="6"/>
  <c r="D24" i="6"/>
  <c r="D10" i="6"/>
  <c r="D37" i="6"/>
  <c r="D23" i="6"/>
  <c r="D36" i="6"/>
  <c r="D22" i="6"/>
  <c r="D35" i="6"/>
  <c r="D21" i="6"/>
  <c r="D34" i="6"/>
  <c r="D20" i="6"/>
  <c r="D33" i="6"/>
  <c r="D19" i="6"/>
  <c r="D26" i="6"/>
  <c r="D32" i="6"/>
  <c r="D18" i="6"/>
  <c r="D31" i="6"/>
  <c r="D17" i="6"/>
  <c r="D30" i="6"/>
  <c r="D16" i="6"/>
  <c r="D12" i="6"/>
  <c r="D29" i="6"/>
  <c r="D15" i="6"/>
  <c r="D28" i="6"/>
  <c r="D14" i="6"/>
  <c r="D27" i="6"/>
  <c r="D13" i="6"/>
  <c r="D9" i="6"/>
  <c r="BO43" i="4"/>
  <c r="BP43" i="4"/>
  <c r="BQ43" i="4"/>
  <c r="BO15" i="4"/>
  <c r="BP15" i="4"/>
  <c r="BQ15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 l="1"/>
  <c r="BQ71" i="4"/>
  <c r="BP71" i="4"/>
  <c r="Q5" i="4"/>
  <c r="Q4" i="4"/>
  <c r="B1" i="5" l="1"/>
  <c r="C1" i="5"/>
  <c r="D1" i="5"/>
  <c r="E1" i="5"/>
  <c r="A1" i="5"/>
  <c r="A4" i="5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E73" i="4"/>
  <c r="F73" i="4"/>
  <c r="E74" i="4"/>
  <c r="F74" i="4"/>
  <c r="E75" i="4"/>
  <c r="F75" i="4"/>
  <c r="E76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F72" i="4"/>
  <c r="E72" i="4"/>
  <c r="J8" i="4"/>
  <c r="L6" i="4"/>
  <c r="L5" i="4"/>
  <c r="B2" i="4"/>
  <c r="D42" i="4" l="1"/>
  <c r="C42" i="4"/>
  <c r="B19" i="5"/>
  <c r="A19" i="5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D70" i="4" l="1"/>
  <c r="C70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72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BQ66" i="4"/>
  <c r="BP66" i="4"/>
  <c r="BO66" i="4"/>
  <c r="BQ65" i="4"/>
  <c r="BP65" i="4"/>
  <c r="BO65" i="4"/>
  <c r="BQ64" i="4"/>
  <c r="W6" i="4" s="1"/>
  <c r="BP64" i="4"/>
  <c r="V6" i="4" s="1"/>
  <c r="BO64" i="4"/>
  <c r="U6" i="4" s="1"/>
  <c r="BQ63" i="4"/>
  <c r="BP63" i="4"/>
  <c r="BO63" i="4"/>
  <c r="BQ62" i="4"/>
  <c r="BP62" i="4"/>
  <c r="BO62" i="4"/>
  <c r="BQ61" i="4"/>
  <c r="BP61" i="4"/>
  <c r="BO61" i="4"/>
  <c r="BQ60" i="4"/>
  <c r="BP60" i="4"/>
  <c r="BO60" i="4"/>
  <c r="BQ59" i="4"/>
  <c r="BP59" i="4"/>
  <c r="BO59" i="4"/>
  <c r="BQ58" i="4"/>
  <c r="BP58" i="4"/>
  <c r="BO58" i="4"/>
  <c r="BQ57" i="4"/>
  <c r="BP57" i="4"/>
  <c r="BO57" i="4"/>
  <c r="BQ56" i="4"/>
  <c r="BP56" i="4"/>
  <c r="BO56" i="4"/>
  <c r="BQ55" i="4"/>
  <c r="BP55" i="4"/>
  <c r="BO55" i="4"/>
  <c r="BQ54" i="4"/>
  <c r="BP54" i="4"/>
  <c r="BO54" i="4"/>
  <c r="BQ53" i="4"/>
  <c r="BP53" i="4"/>
  <c r="BO53" i="4"/>
  <c r="BQ52" i="4"/>
  <c r="BP52" i="4"/>
  <c r="BO52" i="4"/>
  <c r="BQ51" i="4"/>
  <c r="BP51" i="4"/>
  <c r="BO51" i="4"/>
  <c r="BQ50" i="4"/>
  <c r="BP50" i="4"/>
  <c r="BO50" i="4"/>
  <c r="BQ49" i="4"/>
  <c r="BP49" i="4"/>
  <c r="BO49" i="4"/>
  <c r="BQ48" i="4"/>
  <c r="BP48" i="4"/>
  <c r="BO48" i="4"/>
  <c r="BQ47" i="4"/>
  <c r="BP47" i="4"/>
  <c r="BO47" i="4"/>
  <c r="BQ46" i="4"/>
  <c r="BP46" i="4"/>
  <c r="BO46" i="4"/>
  <c r="BQ45" i="4"/>
  <c r="BP45" i="4"/>
  <c r="BO45" i="4"/>
  <c r="BQ44" i="4"/>
  <c r="BP44" i="4"/>
  <c r="BO44" i="4"/>
  <c r="B4" i="5"/>
  <c r="C4" i="5"/>
  <c r="D4" i="5"/>
  <c r="E4" i="5"/>
  <c r="B7" i="5"/>
  <c r="C7" i="5"/>
  <c r="D7" i="5"/>
  <c r="E7" i="5"/>
  <c r="B10" i="5"/>
  <c r="C10" i="5"/>
  <c r="D10" i="5"/>
  <c r="E10" i="5"/>
  <c r="B13" i="5"/>
  <c r="C13" i="5"/>
  <c r="D13" i="5"/>
  <c r="E13" i="5"/>
  <c r="B16" i="5"/>
  <c r="C16" i="5"/>
  <c r="D16" i="5"/>
  <c r="E16" i="5"/>
  <c r="A16" i="5"/>
  <c r="A13" i="5"/>
  <c r="A10" i="5"/>
  <c r="A7" i="5"/>
  <c r="BO83" i="4"/>
  <c r="BO17" i="4"/>
  <c r="BP17" i="4"/>
  <c r="BQ17" i="4"/>
  <c r="BO18" i="4"/>
  <c r="BP18" i="4"/>
  <c r="BQ18" i="4"/>
  <c r="BO19" i="4"/>
  <c r="BP19" i="4"/>
  <c r="BQ19" i="4"/>
  <c r="BO20" i="4"/>
  <c r="BP20" i="4"/>
  <c r="BQ20" i="4"/>
  <c r="BO21" i="4"/>
  <c r="BP21" i="4"/>
  <c r="BQ21" i="4"/>
  <c r="BO22" i="4"/>
  <c r="BP22" i="4"/>
  <c r="BQ22" i="4"/>
  <c r="BO25" i="4"/>
  <c r="BP25" i="4"/>
  <c r="BQ25" i="4"/>
  <c r="BO26" i="4"/>
  <c r="BP26" i="4"/>
  <c r="BQ26" i="4"/>
  <c r="BO27" i="4"/>
  <c r="BP27" i="4"/>
  <c r="BQ27" i="4"/>
  <c r="BO28" i="4"/>
  <c r="BP28" i="4"/>
  <c r="BQ28" i="4"/>
  <c r="BO29" i="4"/>
  <c r="BP29" i="4"/>
  <c r="BQ29" i="4"/>
  <c r="BO30" i="4"/>
  <c r="BP30" i="4"/>
  <c r="BQ30" i="4"/>
  <c r="BO31" i="4"/>
  <c r="BP31" i="4"/>
  <c r="BQ31" i="4"/>
  <c r="BO32" i="4"/>
  <c r="BP32" i="4"/>
  <c r="BQ32" i="4"/>
  <c r="BO33" i="4"/>
  <c r="BP33" i="4"/>
  <c r="BQ33" i="4"/>
  <c r="BO34" i="4"/>
  <c r="BP34" i="4"/>
  <c r="BQ34" i="4"/>
  <c r="BO35" i="4"/>
  <c r="BP35" i="4"/>
  <c r="BQ35" i="4"/>
  <c r="BO36" i="4"/>
  <c r="U5" i="4" s="1"/>
  <c r="BP36" i="4"/>
  <c r="V5" i="4" s="1"/>
  <c r="BQ36" i="4"/>
  <c r="W5" i="4" s="1"/>
  <c r="BO37" i="4"/>
  <c r="BP37" i="4"/>
  <c r="BQ37" i="4"/>
  <c r="BO39" i="4"/>
  <c r="BP39" i="4"/>
  <c r="BQ39" i="4"/>
  <c r="BO40" i="4"/>
  <c r="BP40" i="4"/>
  <c r="BQ40" i="4"/>
  <c r="BQ16" i="4"/>
  <c r="BP16" i="4"/>
  <c r="BO16" i="4"/>
  <c r="B81" i="4"/>
  <c r="B86" i="4" s="1"/>
  <c r="B91" i="4" s="1"/>
  <c r="B80" i="4"/>
  <c r="B85" i="4" s="1"/>
  <c r="B90" i="4" s="1"/>
  <c r="B95" i="4" s="1"/>
  <c r="B79" i="4"/>
  <c r="B84" i="4" s="1"/>
  <c r="B89" i="4" s="1"/>
  <c r="B94" i="4" s="1"/>
  <c r="B78" i="4"/>
  <c r="B83" i="4" s="1"/>
  <c r="B88" i="4" s="1"/>
  <c r="B93" i="4" s="1"/>
  <c r="B77" i="4"/>
  <c r="B82" i="4" s="1"/>
  <c r="B87" i="4" s="1"/>
  <c r="B92" i="4" s="1"/>
  <c r="B53" i="4"/>
  <c r="B58" i="4" s="1"/>
  <c r="B63" i="4" s="1"/>
  <c r="B52" i="4"/>
  <c r="B57" i="4" s="1"/>
  <c r="B62" i="4" s="1"/>
  <c r="B67" i="4" s="1"/>
  <c r="B51" i="4"/>
  <c r="B56" i="4" s="1"/>
  <c r="B61" i="4" s="1"/>
  <c r="B66" i="4" s="1"/>
  <c r="B50" i="4"/>
  <c r="B55" i="4" s="1"/>
  <c r="B60" i="4" s="1"/>
  <c r="B65" i="4" s="1"/>
  <c r="B49" i="4"/>
  <c r="B54" i="4" s="1"/>
  <c r="B59" i="4" s="1"/>
  <c r="B64" i="4" s="1"/>
  <c r="B25" i="4"/>
  <c r="B30" i="4" s="1"/>
  <c r="B35" i="4" s="1"/>
  <c r="B24" i="4"/>
  <c r="B29" i="4" s="1"/>
  <c r="B34" i="4" s="1"/>
  <c r="B39" i="4" s="1"/>
  <c r="B23" i="4"/>
  <c r="B28" i="4" s="1"/>
  <c r="B33" i="4" s="1"/>
  <c r="B38" i="4" s="1"/>
  <c r="B22" i="4"/>
  <c r="B27" i="4" s="1"/>
  <c r="B32" i="4" s="1"/>
  <c r="B37" i="4" s="1"/>
  <c r="B21" i="4"/>
  <c r="B26" i="4" s="1"/>
  <c r="B31" i="4" s="1"/>
  <c r="B36" i="4" s="1"/>
  <c r="BP83" i="4"/>
  <c r="BP93" i="4" l="1"/>
  <c r="BO90" i="4"/>
  <c r="BQ93" i="4"/>
  <c r="BP91" i="4"/>
  <c r="BP89" i="4"/>
  <c r="BQ82" i="4"/>
  <c r="BO81" i="4"/>
  <c r="BQ85" i="4"/>
  <c r="BO77" i="4"/>
  <c r="BP76" i="4"/>
  <c r="BO74" i="4"/>
  <c r="BQ76" i="4"/>
  <c r="BQ75" i="4"/>
  <c r="BO82" i="4"/>
  <c r="BP88" i="4"/>
  <c r="BQ87" i="4"/>
  <c r="BP73" i="4"/>
  <c r="BO91" i="4"/>
  <c r="BQ78" i="4"/>
  <c r="BQ91" i="4"/>
  <c r="BP90" i="4"/>
  <c r="BO89" i="4"/>
  <c r="BO88" i="4"/>
  <c r="BO85" i="4"/>
  <c r="BQ83" i="4"/>
  <c r="BQ81" i="4"/>
  <c r="BQ77" i="4"/>
  <c r="BO76" i="4"/>
  <c r="BP75" i="4"/>
  <c r="BQ74" i="4"/>
  <c r="BQ72" i="4"/>
  <c r="BP72" i="4"/>
  <c r="BP84" i="4"/>
  <c r="BQ90" i="4"/>
  <c r="BQ89" i="4"/>
  <c r="BQ88" i="4"/>
  <c r="BO87" i="4"/>
  <c r="BO86" i="4"/>
  <c r="BP85" i="4"/>
  <c r="BP82" i="4"/>
  <c r="BO78" i="4"/>
  <c r="BP77" i="4"/>
  <c r="BP74" i="4"/>
  <c r="BQ73" i="4"/>
  <c r="BO72" i="4"/>
  <c r="BO92" i="4"/>
  <c r="BP92" i="4"/>
  <c r="BO93" i="4"/>
  <c r="BP86" i="4"/>
  <c r="BO84" i="4"/>
  <c r="BO75" i="4"/>
  <c r="BP78" i="4"/>
  <c r="BQ84" i="4"/>
  <c r="BQ86" i="4"/>
  <c r="BQ92" i="4"/>
  <c r="BP87" i="4"/>
  <c r="BO73" i="4"/>
  <c r="BP81" i="4"/>
  <c r="BQ24" i="4" l="1"/>
  <c r="BP24" i="4"/>
  <c r="BO24" i="4"/>
  <c r="BP80" i="4"/>
  <c r="BQ80" i="4"/>
  <c r="BO80" i="4"/>
  <c r="BO23" i="4"/>
  <c r="BQ79" i="4"/>
  <c r="BP23" i="4"/>
  <c r="BQ23" i="4"/>
  <c r="BP79" i="4"/>
  <c r="BO79" i="4"/>
  <c r="BO38" i="4"/>
  <c r="BQ38" i="4"/>
  <c r="BP38" i="4"/>
  <c r="BQ94" i="4"/>
  <c r="BP94" i="4"/>
  <c r="BO94" i="4"/>
  <c r="BQ68" i="4"/>
  <c r="BO68" i="4"/>
  <c r="BQ96" i="4"/>
  <c r="BP68" i="4"/>
  <c r="BO96" i="4"/>
  <c r="BP67" i="4"/>
  <c r="BP95" i="4"/>
  <c r="BQ67" i="4"/>
  <c r="BO67" i="4"/>
  <c r="BP96" i="4" l="1"/>
  <c r="BO95" i="4"/>
  <c r="BQ9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<sst xmlns="http://schemas.openxmlformats.org/spreadsheetml/2006/main" count="204" uniqueCount="128">
  <si>
    <t>Part.No.:</t>
  </si>
  <si>
    <t>GPIB-Port:</t>
  </si>
  <si>
    <t>Variation of Breakdown Voltage</t>
  </si>
  <si>
    <t>Imax:</t>
  </si>
  <si>
    <t>A</t>
  </si>
  <si>
    <t>Terminal:</t>
  </si>
  <si>
    <t>FRONT</t>
  </si>
  <si>
    <t>Vvar max</t>
  </si>
  <si>
    <t>Vbv,min</t>
  </si>
  <si>
    <t>Vbv,avg</t>
  </si>
  <si>
    <t>Vbv,max</t>
  </si>
  <si>
    <t>Varistor Voltage:</t>
  </si>
  <si>
    <t>V</t>
  </si>
  <si>
    <t>Beeper:</t>
  </si>
  <si>
    <t>OFF</t>
  </si>
  <si>
    <t>Vvar min</t>
  </si>
  <si>
    <t>Before Test</t>
  </si>
  <si>
    <t>Tolerance:</t>
  </si>
  <si>
    <t>%</t>
  </si>
  <si>
    <t>4-Wire:</t>
  </si>
  <si>
    <t>ON</t>
  </si>
  <si>
    <t>After Test</t>
  </si>
  <si>
    <t>Varistor-Current:</t>
  </si>
  <si>
    <t>mA</t>
  </si>
  <si>
    <t>Number of Parts</t>
  </si>
  <si>
    <t>Vdc :</t>
  </si>
  <si>
    <t>Repeat:</t>
  </si>
  <si>
    <t>Test Equipment:</t>
  </si>
  <si>
    <t>Keithley 2410</t>
  </si>
  <si>
    <t>Volt. Limit:</t>
  </si>
  <si>
    <t>Date:</t>
  </si>
  <si>
    <t>Drawn by:</t>
  </si>
  <si>
    <t>Lotnumber / DC</t>
  </si>
  <si>
    <t>Test Specifications</t>
  </si>
  <si>
    <t>Delay
[ms]</t>
  </si>
  <si>
    <t>Current [mA] Before Test</t>
  </si>
  <si>
    <t>Part 1 Fwd</t>
  </si>
  <si>
    <t>Part 1 Rev</t>
  </si>
  <si>
    <t>Part 2 Fwd</t>
  </si>
  <si>
    <t>Part 2 Rev</t>
  </si>
  <si>
    <t>Part 3 Fwd</t>
  </si>
  <si>
    <t>Part 3 Rev</t>
  </si>
  <si>
    <t>Part 4 Fwd</t>
  </si>
  <si>
    <t>Part 4 Rev</t>
  </si>
  <si>
    <t>Part 5 Fwd</t>
  </si>
  <si>
    <t>Part 5 Rev</t>
  </si>
  <si>
    <t>Part 6 Fwd</t>
  </si>
  <si>
    <t>Part 6 Rev</t>
  </si>
  <si>
    <t>Part 7 Fwd</t>
  </si>
  <si>
    <t>Part 7 Rev</t>
  </si>
  <si>
    <t>Part 8 Fwd</t>
  </si>
  <si>
    <t>Part 8 Rev</t>
  </si>
  <si>
    <t>Part 9 Fwd</t>
  </si>
  <si>
    <t>Part 9 Rev</t>
  </si>
  <si>
    <t>Part 10 Fwd</t>
  </si>
  <si>
    <t>Part 10 Rev</t>
  </si>
  <si>
    <t>Part 11 Fwd</t>
  </si>
  <si>
    <t>Part 11 Rev</t>
  </si>
  <si>
    <t>Part 12 Fwd</t>
  </si>
  <si>
    <t>Part 12 Rev</t>
  </si>
  <si>
    <t>Part 13 Fwd</t>
  </si>
  <si>
    <t>Part 13 Rev</t>
  </si>
  <si>
    <t>Part 14 Fwd</t>
  </si>
  <si>
    <t>Part 14 Rev</t>
  </si>
  <si>
    <t>Part 15 Fwd</t>
  </si>
  <si>
    <t>Part 15 Rev</t>
  </si>
  <si>
    <t>Part 16 Fwd</t>
  </si>
  <si>
    <t>Part 16 Rev</t>
  </si>
  <si>
    <t>Part 17 Fwd</t>
  </si>
  <si>
    <t>Part 17 Rev</t>
  </si>
  <si>
    <t>Part 18 Fwd</t>
  </si>
  <si>
    <t>Part 18 Rev</t>
  </si>
  <si>
    <t>Part 19 Fwd</t>
  </si>
  <si>
    <t>Part 19 Rev</t>
  </si>
  <si>
    <t>Part 20 Fwd</t>
  </si>
  <si>
    <t>Part 20 Rev</t>
  </si>
  <si>
    <t>Part 21 Fwd</t>
  </si>
  <si>
    <t>Part 21 Rev</t>
  </si>
  <si>
    <t>Part 22 Fwd</t>
  </si>
  <si>
    <t>Part 22 Rev</t>
  </si>
  <si>
    <t>Part 23 Fwd</t>
  </si>
  <si>
    <t>Part 23 Rev</t>
  </si>
  <si>
    <t>Part 24 Fwd</t>
  </si>
  <si>
    <t>Part 24 Rev</t>
  </si>
  <si>
    <t>Part 25 Fwd</t>
  </si>
  <si>
    <t>Part 25 Rev</t>
  </si>
  <si>
    <t>Part 26 Fwd</t>
  </si>
  <si>
    <t>Part 26 Rev</t>
  </si>
  <si>
    <t>Part 27 Fwd</t>
  </si>
  <si>
    <t>Part 27 Rev</t>
  </si>
  <si>
    <t>Part 28 Fwd</t>
  </si>
  <si>
    <t>Part 28 Rev</t>
  </si>
  <si>
    <t>Part 29 Fwd</t>
  </si>
  <si>
    <t>Part 29 Rev</t>
  </si>
  <si>
    <t>Part 30 Fwd</t>
  </si>
  <si>
    <t>Part 30 Rev</t>
  </si>
  <si>
    <t>Part 31 Fwd</t>
  </si>
  <si>
    <t>Part 31 Rev</t>
  </si>
  <si>
    <t>Part 32 Fwd</t>
  </si>
  <si>
    <t>Part 32 Rev</t>
  </si>
  <si>
    <t>Min</t>
  </si>
  <si>
    <t>Avg</t>
  </si>
  <si>
    <t>Max</t>
  </si>
  <si>
    <t>Current [mA] After Test</t>
  </si>
  <si>
    <t>Change %</t>
  </si>
  <si>
    <t>Ileak</t>
    <phoneticPr fontId="0" type="noConversion"/>
  </si>
  <si>
    <r>
      <t>V</t>
    </r>
    <r>
      <rPr>
        <sz val="12"/>
        <rFont val="Arial"/>
        <family val="2"/>
      </rPr>
      <t>BR</t>
    </r>
  </si>
  <si>
    <r>
      <t>V</t>
    </r>
    <r>
      <rPr>
        <b/>
        <sz val="10"/>
        <rFont val="Arial"/>
        <family val="2"/>
      </rPr>
      <t>BR</t>
    </r>
  </si>
  <si>
    <t>Ileak</t>
  </si>
  <si>
    <t>Note</t>
    <phoneticPr fontId="0" type="noConversion"/>
  </si>
  <si>
    <t>注意产品的极性，请正确放置！</t>
  </si>
  <si>
    <t>Rev</t>
  </si>
  <si>
    <r>
      <t>R</t>
    </r>
    <r>
      <rPr>
        <sz val="10"/>
        <rFont val="Arial"/>
        <family val="2"/>
      </rPr>
      <t>ev</t>
    </r>
  </si>
  <si>
    <t>Notes:</t>
  </si>
  <si>
    <t>VDC</t>
  </si>
  <si>
    <t>Reverse Stand-Off Voltage</t>
  </si>
  <si>
    <t>VBR</t>
  </si>
  <si>
    <t>Reverse Breakdown Voltage(V @ 1mA (&gt;7Vdc), 10mA(≤ 7Vdc))</t>
  </si>
  <si>
    <t>CJ</t>
  </si>
  <si>
    <t>Junction Capacitance @ 50 mVrms, @ 1MHz</t>
  </si>
  <si>
    <t>IPeak</t>
  </si>
  <si>
    <t>Peak Pulse Current (10/1000µs)</t>
  </si>
  <si>
    <t>VClamp</t>
  </si>
  <si>
    <t>Surge Clamping Voltage @ IPeak</t>
  </si>
  <si>
    <t>ILeak</t>
  </si>
  <si>
    <t>Reverse Leakage Current @ VDC  (For bidirectional type ≤10 VDC the ILeak is double)</t>
  </si>
  <si>
    <t>IT</t>
  </si>
  <si>
    <t>Test 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</si>
</sst>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\ &quot;V&quot;"/>
  </numFmts>
  <fonts count="1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DengXian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right"/>
    </xf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2" fillId="0" borderId="0" xfId="0" applyFont="1"/>
    <xf numFmtId="10" fontId="0" fillId="0" borderId="0" xfId="1" applyNumberFormat="1" applyFont="1"/>
    <xf numFmtId="0" fontId="6" fillId="0" borderId="0" xfId="0" applyFont="1" applyAlignment="1">
      <alignment horizontal="center"/>
    </xf>
    <xf numFmtId="0" fontId="0" fillId="2" borderId="2" xfId="0" applyFill="1" applyBorder="1"/>
    <xf numFmtId="165" fontId="8" fillId="0" borderId="0" xfId="0" applyNumberFormat="1" applyFont="1"/>
    <xf numFmtId="0" fontId="0" fillId="2" borderId="2" xfId="0" applyFill="1" applyBorder="1" applyAlignment="1">
      <alignment horizontal="center"/>
    </xf>
    <xf numFmtId="0" fontId="0" fillId="3" borderId="2" xfId="0" applyFill="1" applyBorder="1"/>
    <xf numFmtId="0" fontId="5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left"/>
    </xf>
    <xf numFmtId="164" fontId="0" fillId="3" borderId="2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5" fillId="5" borderId="2" xfId="0" applyFont="1" applyFill="1" applyBorder="1" applyAlignment="1">
      <alignment horizontal="right"/>
    </xf>
    <xf numFmtId="165" fontId="0" fillId="0" borderId="3" xfId="0" applyNumberFormat="1" applyBorder="1"/>
    <xf numFmtId="165" fontId="0" fillId="0" borderId="4" xfId="0" applyNumberFormat="1" applyBorder="1"/>
    <xf numFmtId="165" fontId="0" fillId="0" borderId="1" xfId="0" applyNumberFormat="1" applyBorder="1"/>
    <xf numFmtId="0" fontId="6" fillId="6" borderId="0" xfId="0" applyFont="1" applyFill="1" applyAlignment="1">
      <alignment horizontal="center"/>
    </xf>
    <xf numFmtId="0" fontId="0" fillId="6" borderId="0" xfId="0" applyFill="1"/>
    <xf numFmtId="0" fontId="4" fillId="6" borderId="5" xfId="0" applyFont="1" applyFill="1" applyBorder="1" applyAlignment="1">
      <alignment horizontal="center" vertical="center"/>
    </xf>
    <xf numFmtId="165" fontId="0" fillId="6" borderId="0" xfId="0" applyNumberFormat="1" applyFill="1"/>
    <xf numFmtId="0" fontId="4" fillId="6" borderId="6" xfId="0" applyFont="1" applyFill="1" applyBorder="1" applyAlignment="1">
      <alignment horizont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6" fillId="7" borderId="0" xfId="0" applyFont="1" applyFill="1" applyAlignment="1">
      <alignment horizontal="center"/>
    </xf>
    <xf numFmtId="0" fontId="0" fillId="7" borderId="0" xfId="0" applyFill="1"/>
    <xf numFmtId="0" fontId="6" fillId="8" borderId="0" xfId="0" applyFont="1" applyFill="1" applyAlignment="1">
      <alignment horizontal="center"/>
    </xf>
    <xf numFmtId="0" fontId="0" fillId="8" borderId="0" xfId="0" applyFill="1"/>
    <xf numFmtId="0" fontId="6" fillId="9" borderId="0" xfId="0" applyFont="1" applyFill="1" applyAlignment="1">
      <alignment horizontal="center"/>
    </xf>
    <xf numFmtId="0" fontId="0" fillId="9" borderId="0" xfId="0" applyFill="1"/>
    <xf numFmtId="0" fontId="6" fillId="10" borderId="0" xfId="0" applyFont="1" applyFill="1" applyAlignment="1">
      <alignment horizontal="center"/>
    </xf>
    <xf numFmtId="0" fontId="0" fillId="10" borderId="0" xfId="0" applyFill="1"/>
    <xf numFmtId="0" fontId="6" fillId="11" borderId="0" xfId="0" applyFont="1" applyFill="1" applyAlignment="1">
      <alignment horizontal="center"/>
    </xf>
    <xf numFmtId="0" fontId="0" fillId="11" borderId="0" xfId="0" applyFill="1"/>
    <xf numFmtId="0" fontId="6" fillId="6" borderId="1" xfId="0" applyFont="1" applyFill="1" applyBorder="1"/>
    <xf numFmtId="165" fontId="6" fillId="6" borderId="0" xfId="0" applyNumberFormat="1" applyFont="1" applyFill="1"/>
    <xf numFmtId="0" fontId="6" fillId="0" borderId="0" xfId="0" applyFont="1"/>
    <xf numFmtId="10" fontId="6" fillId="0" borderId="0" xfId="1" applyNumberFormat="1" applyFont="1"/>
    <xf numFmtId="10" fontId="6" fillId="6" borderId="0" xfId="1" applyNumberFormat="1" applyFont="1" applyFill="1"/>
    <xf numFmtId="0" fontId="6" fillId="6" borderId="8" xfId="0" applyFont="1" applyFill="1" applyBorder="1" applyAlignment="1">
      <alignment horizontal="center" wrapText="1"/>
    </xf>
    <xf numFmtId="0" fontId="0" fillId="6" borderId="4" xfId="0" applyFill="1" applyBorder="1"/>
    <xf numFmtId="0" fontId="6" fillId="6" borderId="4" xfId="0" applyFont="1" applyFill="1" applyBorder="1"/>
    <xf numFmtId="0" fontId="4" fillId="6" borderId="11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/>
    </xf>
    <xf numFmtId="0" fontId="0" fillId="12" borderId="0" xfId="0" applyFill="1"/>
    <xf numFmtId="165" fontId="6" fillId="0" borderId="1" xfId="0" applyNumberFormat="1" applyFont="1" applyBorder="1"/>
    <xf numFmtId="165" fontId="6" fillId="0" borderId="3" xfId="0" applyNumberFormat="1" applyFont="1" applyBorder="1"/>
    <xf numFmtId="165" fontId="6" fillId="0" borderId="4" xfId="0" applyNumberFormat="1" applyFont="1" applyBorder="1"/>
    <xf numFmtId="165" fontId="6" fillId="0" borderId="0" xfId="0" applyNumberFormat="1" applyFont="1"/>
    <xf numFmtId="0" fontId="1" fillId="0" borderId="2" xfId="0" applyFont="1" applyBorder="1" applyAlignment="1">
      <alignment horizontal="center"/>
    </xf>
    <xf numFmtId="10" fontId="6" fillId="0" borderId="2" xfId="1" applyNumberFormat="1" applyFont="1" applyBorder="1" applyAlignment="1">
      <alignment horizontal="center"/>
    </xf>
    <xf numFmtId="0" fontId="0" fillId="0" borderId="2" xfId="0" applyBorder="1"/>
    <xf numFmtId="10" fontId="0" fillId="0" borderId="12" xfId="1" applyNumberFormat="1" applyFont="1" applyBorder="1"/>
    <xf numFmtId="10" fontId="0" fillId="0" borderId="13" xfId="1" applyNumberFormat="1" applyFont="1" applyBorder="1"/>
    <xf numFmtId="10" fontId="6" fillId="0" borderId="13" xfId="1" applyNumberFormat="1" applyFont="1" applyBorder="1"/>
    <xf numFmtId="166" fontId="0" fillId="3" borderId="1" xfId="0" applyNumberFormat="1" applyFill="1" applyBorder="1"/>
    <xf numFmtId="0" fontId="0" fillId="3" borderId="4" xfId="0" applyFill="1" applyBorder="1"/>
    <xf numFmtId="10" fontId="0" fillId="0" borderId="14" xfId="1" applyNumberFormat="1" applyFont="1" applyBorder="1"/>
    <xf numFmtId="10" fontId="0" fillId="0" borderId="15" xfId="1" applyNumberFormat="1" applyFont="1" applyBorder="1"/>
    <xf numFmtId="11" fontId="0" fillId="0" borderId="4" xfId="0" applyNumberFormat="1" applyBorder="1"/>
    <xf numFmtId="11" fontId="0" fillId="0" borderId="0" xfId="0" applyNumberFormat="1"/>
    <xf numFmtId="11" fontId="0" fillId="0" borderId="1" xfId="0" applyNumberFormat="1" applyBorder="1"/>
    <xf numFmtId="10" fontId="0" fillId="0" borderId="3" xfId="1" applyNumberFormat="1" applyFont="1" applyBorder="1"/>
    <xf numFmtId="10" fontId="0" fillId="0" borderId="0" xfId="1" applyNumberFormat="1" applyFont="1" applyBorder="1"/>
    <xf numFmtId="0" fontId="4" fillId="6" borderId="2" xfId="0" applyFont="1" applyFill="1" applyBorder="1" applyAlignment="1">
      <alignment horizontal="center" wrapText="1"/>
    </xf>
    <xf numFmtId="0" fontId="10" fillId="14" borderId="2" xfId="0" applyFont="1" applyFill="1" applyBorder="1"/>
    <xf numFmtId="0" fontId="4" fillId="6" borderId="2" xfId="0" applyFont="1" applyFill="1" applyBorder="1" applyAlignment="1">
      <alignment horizontal="center" vertical="center" wrapText="1"/>
    </xf>
    <xf numFmtId="0" fontId="10" fillId="0" borderId="2" xfId="0" applyFont="1" applyBorder="1"/>
    <xf numFmtId="0" fontId="12" fillId="0" borderId="2" xfId="0" applyFont="1" applyBorder="1"/>
    <xf numFmtId="0" fontId="10" fillId="0" borderId="0" xfId="0" applyFont="1"/>
    <xf numFmtId="0" fontId="13" fillId="0" borderId="0" xfId="0" applyFont="1"/>
    <xf numFmtId="0" fontId="4" fillId="15" borderId="2" xfId="0" applyFont="1" applyFill="1" applyBorder="1" applyAlignment="1">
      <alignment horizontal="center" wrapText="1"/>
    </xf>
    <xf numFmtId="0" fontId="1" fillId="0" borderId="2" xfId="0" applyFont="1" applyBorder="1"/>
    <xf numFmtId="0" fontId="1" fillId="0" borderId="0" xfId="0" applyFont="1"/>
    <xf numFmtId="11" fontId="0" fillId="0" borderId="0" xfId="0" applyNumberFormat="1" applyAlignment="1">
      <alignment wrapText="1"/>
    </xf>
    <xf numFmtId="11" fontId="0" fillId="0" borderId="3" xfId="0" applyNumberFormat="1" applyBorder="1" applyAlignment="1">
      <alignment wrapText="1"/>
    </xf>
    <xf numFmtId="11" fontId="0" fillId="0" borderId="2" xfId="0" applyNumberFormat="1" applyBorder="1"/>
    <xf numFmtId="0" fontId="5" fillId="4" borderId="2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2" borderId="2" xfId="0" applyFont="1" applyFill="1" applyBorder="1" applyAlignment="1">
      <alignment horizontal="center"/>
    </xf>
    <xf numFmtId="14" fontId="0" fillId="5" borderId="9" xfId="0" applyNumberFormat="1" applyFill="1" applyBorder="1" applyAlignment="1">
      <alignment horizontal="left"/>
    </xf>
    <xf numFmtId="14" fontId="0" fillId="5" borderId="10" xfId="0" applyNumberForma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9" fillId="13" borderId="2" xfId="0" applyFont="1" applyFill="1" applyBorder="1" applyAlignment="1">
      <alignment horizontal="center"/>
    </xf>
    <xf numFmtId="1" fontId="1" fillId="13" borderId="2" xfId="0" applyNumberFormat="1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10" fontId="1" fillId="6" borderId="15" xfId="1" applyNumberFormat="1" applyFont="1" applyFill="1" applyBorder="1"/>
    <xf numFmtId="10" fontId="1" fillId="6" borderId="0" xfId="1" applyNumberFormat="1" applyFont="1" applyFill="1" applyBorder="1"/>
    <xf numFmtId="10" fontId="1" fillId="6" borderId="0" xfId="1" applyNumberFormat="1" applyFont="1" applyFill="1"/>
  </cellXfs>
  <cellStyles count="2">
    <cellStyle name="Normal" xfId="0" builtinId="0"/>
    <cellStyle name="Percent" xfId="1" builtinId="5"/>
  </cellStyles>
  <dxfs count="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42418648413114"/>
          <c:y val="3.0219846635311624E-2"/>
          <c:w val="0.6766005070954717"/>
          <c:h val="0.81772989691204034"/>
        </c:manualLayout>
      </c:layout>
      <c:scatterChart>
        <c:scatterStyle val="smoothMarker"/>
        <c:varyColors val="0"/>
        <c:ser>
          <c:idx val="6"/>
          <c:order val="0"/>
          <c:tx>
            <c:v>Tolerance</c:v>
          </c:tx>
          <c:spPr>
            <a:ln w="44450" cap="sq">
              <a:solidFill>
                <a:srgbClr val="92D05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Ref>
              <c:f>(Measurement!$Q$5,Measurement!$Q$4)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54-4535-8CD7-E474F3FA61AF}"/>
            </c:ext>
          </c:extLst>
        </c:ser>
        <c:ser>
          <c:idx val="7"/>
          <c:order val="1"/>
          <c:tx>
            <c:v>DC Voltage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1E-4</c:v>
              </c:pt>
              <c:pt idx="1">
                <c:v>20</c:v>
              </c:pt>
            </c:numLit>
          </c:xVal>
          <c:yVal>
            <c:numRef>
              <c:f>(Measurement!$C$8,Measurement!$C$8)</c:f>
              <c:numCache>
                <c:formatCode>0.0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54-4535-8CD7-E474F3FA61AF}"/>
            </c:ext>
          </c:extLst>
        </c:ser>
        <c:ser>
          <c:idx val="0"/>
          <c:order val="2"/>
          <c:tx>
            <c:v>Before Min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Measurement!$BO$16:$BO$40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54-4535-8CD7-E474F3FA61AF}"/>
            </c:ext>
          </c:extLst>
        </c:ser>
        <c:ser>
          <c:idx val="4"/>
          <c:order val="3"/>
          <c:tx>
            <c:v>Before Avg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Measurement!$BP$16:$BP$40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54-4535-8CD7-E474F3FA61AF}"/>
            </c:ext>
          </c:extLst>
        </c:ser>
        <c:ser>
          <c:idx val="2"/>
          <c:order val="4"/>
          <c:tx>
            <c:v>Before Max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Measurement!$BQ$16:$BQ$40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54-4535-8CD7-E474F3FA61AF}"/>
            </c:ext>
          </c:extLst>
        </c:ser>
        <c:ser>
          <c:idx val="1"/>
          <c:order val="5"/>
          <c:tx>
            <c:v>After Min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Measurement!$BO$44:$BO$68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54-4535-8CD7-E474F3FA61AF}"/>
            </c:ext>
          </c:extLst>
        </c:ser>
        <c:ser>
          <c:idx val="5"/>
          <c:order val="6"/>
          <c:tx>
            <c:v>After Avg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Measurement!$BP$44:$BP$68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54-4535-8CD7-E474F3FA61AF}"/>
            </c:ext>
          </c:extLst>
        </c:ser>
        <c:ser>
          <c:idx val="3"/>
          <c:order val="7"/>
          <c:tx>
            <c:v>After Max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Measurement!$BQ$44:$BQ$68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54-4535-8CD7-E474F3FA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12832"/>
        <c:axId val="99119104"/>
      </c:scatterChart>
      <c:valAx>
        <c:axId val="9911283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34432847379226111"/>
              <c:y val="0.917727365863653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119104"/>
        <c:crosses val="autoZero"/>
        <c:crossBetween val="midCat"/>
        <c:majorUnit val="10"/>
      </c:valAx>
      <c:valAx>
        <c:axId val="99119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7575426834021985E-3"/>
              <c:y val="0.361629833445540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112832"/>
        <c:crossesAt val="9.9999999999999995E-7"/>
        <c:crossBetween val="midCat"/>
      </c:valAx>
    </c:plotArea>
    <c:legend>
      <c:legendPos val="r"/>
      <c:layout>
        <c:manualLayout>
          <c:xMode val="edge"/>
          <c:yMode val="edge"/>
          <c:x val="0.80984735323926083"/>
          <c:y val="0.23337491229437904"/>
          <c:w val="0.19015264676073906"/>
          <c:h val="0.53325017541124187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Measurement!$C$16:$C$40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29-4D82-9D5E-3D58554D36A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Measurement!$D$16:$D$40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29-4D82-9D5E-3D58554D36A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Measurement!$C$44:$C$68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29-4D82-9D5E-3D58554D36A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Measurement!$D$44:$D$68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29-4D82-9D5E-3D58554D3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81344"/>
        <c:axId val="105483264"/>
      </c:scatterChart>
      <c:valAx>
        <c:axId val="10548134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5483264"/>
        <c:crosses val="autoZero"/>
        <c:crossBetween val="midCat"/>
        <c:majorUnit val="10"/>
      </c:valAx>
      <c:valAx>
        <c:axId val="10548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548134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Measurement!$E$16:$E$40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F4-4203-AAE4-B5DB453F0E9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Measurement!$F$16:$F$40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F4-4203-AAE4-B5DB453F0E9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Measurement!$E$44:$E$68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F4-4203-AAE4-B5DB453F0E9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Measurement!$F$44:$F$68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F4-4203-AAE4-B5DB453F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26688"/>
        <c:axId val="99837056"/>
      </c:scatterChart>
      <c:valAx>
        <c:axId val="9982668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837056"/>
        <c:crosses val="autoZero"/>
        <c:crossBetween val="midCat"/>
        <c:majorUnit val="10"/>
      </c:valAx>
      <c:valAx>
        <c:axId val="9983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82668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Measurement!$G$16:$G$40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9-4B3D-BCC0-CFB539B6B772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Measurement!$H$16:$H$40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29-4B3D-BCC0-CFB539B6B772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Measurement!$G$44:$G$68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29-4B3D-BCC0-CFB539B6B772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Measurement!$H$44:$H$68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29-4B3D-BCC0-CFB539B6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63168"/>
        <c:axId val="99681024"/>
      </c:scatterChart>
      <c:valAx>
        <c:axId val="998631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681024"/>
        <c:crosses val="autoZero"/>
        <c:crossBetween val="midCat"/>
        <c:majorUnit val="10"/>
      </c:valAx>
      <c:valAx>
        <c:axId val="99681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8631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Measurement!$I$16:$I$40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27-4599-A793-8AE3C6518DE3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Measurement!$J$16:$J$40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27-4599-A793-8AE3C6518DE3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Measurement!$I$44:$I$68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27-4599-A793-8AE3C6518DE3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Measurement!$J$44:$J$68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27-4599-A793-8AE3C6518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30560"/>
        <c:axId val="99732480"/>
      </c:scatterChart>
      <c:valAx>
        <c:axId val="99730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732480"/>
        <c:crosses val="autoZero"/>
        <c:crossBetween val="midCat"/>
        <c:majorUnit val="10"/>
      </c:valAx>
      <c:valAx>
        <c:axId val="99732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73056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Measurement!$K$16:$K$40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8-4B31-879C-22D02FC0E9E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Measurement!$L$16:$L$40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98-4B31-879C-22D02FC0E9E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Measurement!$K$44:$K$68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98-4B31-879C-22D02FC0E9E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Measurement!$L$44:$L$68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98-4B31-879C-22D02FC0E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75616"/>
        <c:axId val="99777536"/>
      </c:scatterChart>
      <c:valAx>
        <c:axId val="9977561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777536"/>
        <c:crosses val="autoZero"/>
        <c:crossBetween val="midCat"/>
        <c:majorUnit val="10"/>
      </c:valAx>
      <c:valAx>
        <c:axId val="9977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977561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Measurement!$M$16:$M$40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D-4063-BAE4-F726D878C382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Measurement!$N$16:$N$40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FD-4063-BAE4-F726D878C382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Measurement!$M$44:$M$68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FD-4063-BAE4-F726D878C382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Measurement!$N$44:$N$68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FD-4063-BAE4-F726D878C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12032"/>
        <c:axId val="112813952"/>
      </c:scatterChart>
      <c:valAx>
        <c:axId val="11281203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2813952"/>
        <c:crosses val="autoZero"/>
        <c:crossBetween val="midCat"/>
        <c:majorUnit val="10"/>
      </c:valAx>
      <c:valAx>
        <c:axId val="11281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281203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Measurement!$W$16:$W$40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0-4FC4-AAAE-1744149CEB5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Measurement!$X$16:$X$40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0-4FC4-AAAE-1744149CEB5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Measurement!$W$44:$W$68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10-4FC4-AAAE-1744149CEB5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Measurement!$X$44:$X$68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10-4FC4-AAAE-1744149C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6336"/>
        <c:axId val="112848256"/>
      </c:scatterChart>
      <c:valAx>
        <c:axId val="11284633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2848256"/>
        <c:crosses val="autoZero"/>
        <c:crossBetween val="midCat"/>
        <c:majorUnit val="10"/>
      </c:valAx>
      <c:valAx>
        <c:axId val="112848256"/>
        <c:scaling>
          <c:orientation val="minMax"/>
          <c:max val="5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284633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Measurement!$AG$16:$AG$40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8-4C9F-A501-178108A37E38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Measurement!$AH$16:$AH$40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8-4C9F-A501-178108A37E38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Measurement!$AG$44:$AG$68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B8-4C9F-A501-178108A37E38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Measurement!$AH$44:$AH$68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B8-4C9F-A501-178108A37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67744"/>
        <c:axId val="113169920"/>
      </c:scatterChart>
      <c:valAx>
        <c:axId val="11316774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3169920"/>
        <c:crosses val="autoZero"/>
        <c:crossBetween val="midCat"/>
        <c:majorUnit val="10"/>
      </c:valAx>
      <c:valAx>
        <c:axId val="113169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316774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Measurement!$AQ$16:$AQ$40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DE-4B1C-8C6D-99F9EEBA9CBF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Measurement!$AR$16:$AR$40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DE-4B1C-8C6D-99F9EEBA9CBF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Measurement!$AQ$44:$AQ$68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DE-4B1C-8C6D-99F9EEBA9CBF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Measurement!$AR$44:$AR$68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DE-4B1C-8C6D-99F9EEBA9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52672"/>
        <c:axId val="114654592"/>
      </c:scatterChart>
      <c:valAx>
        <c:axId val="1146526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654592"/>
        <c:crosses val="autoZero"/>
        <c:crossBetween val="midCat"/>
        <c:majorUnit val="10"/>
      </c:valAx>
      <c:valAx>
        <c:axId val="114654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6526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Measurement!$BA$16:$BA$40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64-4D0E-A6B8-BE1D445ED9E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Measurement!$BB$16:$BB$40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64-4D0E-A6B8-BE1D445ED9E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Measurement!$BA$44:$BA$68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64-4D0E-A6B8-BE1D445ED9E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Measurement!$BB$44:$BB$68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64-4D0E-A6B8-BE1D445E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11168"/>
        <c:axId val="114721536"/>
      </c:scatterChart>
      <c:valAx>
        <c:axId val="1147111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721536"/>
        <c:crosses val="autoZero"/>
        <c:crossBetween val="midCat"/>
        <c:majorUnit val="10"/>
      </c:valAx>
      <c:valAx>
        <c:axId val="114721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7111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Measurement!$O$16:$O$40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5-4118-BB57-1CA5D83E603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Measurement!$P$16:$P$40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05-4118-BB57-1CA5D83E603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Measurement!$O$44:$O$68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05-4118-BB57-1CA5D83E603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Measurement!$P$44:$P$68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5-4118-BB57-1CA5D83E6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50208"/>
        <c:axId val="114752128"/>
      </c:scatterChart>
      <c:valAx>
        <c:axId val="11475020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752128"/>
        <c:crosses val="autoZero"/>
        <c:crossBetween val="midCat"/>
        <c:majorUnit val="10"/>
      </c:valAx>
      <c:valAx>
        <c:axId val="114752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475020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Measurement!$Q$16:$Q$40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BE-4D9F-A274-6DDF6A280C6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Measurement!$R$16:$R$40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BE-4D9F-A274-6DDF6A280C6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Measurement!$Q$44:$Q$68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E-4D9F-A274-6DDF6A280C6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Measurement!$R$44:$R$68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BE-4D9F-A274-6DDF6A280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77920"/>
        <c:axId val="116184192"/>
      </c:scatterChart>
      <c:valAx>
        <c:axId val="11617792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184192"/>
        <c:crosses val="autoZero"/>
        <c:crossBetween val="midCat"/>
        <c:majorUnit val="10"/>
      </c:valAx>
      <c:valAx>
        <c:axId val="116184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17792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Measurement!$S$16:$S$40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89-49AD-B850-795DF4280CD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Measurement!$T$16:$T$40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89-49AD-B850-795DF4280CD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Measurement!$S$44:$S$68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89-49AD-B850-795DF4280CD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Measurement!$T$44:$T$68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89-49AD-B850-795DF4280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35872"/>
        <c:axId val="117537792"/>
      </c:scatterChart>
      <c:valAx>
        <c:axId val="117535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537792"/>
        <c:crosses val="autoZero"/>
        <c:crossBetween val="midCat"/>
        <c:majorUnit val="10"/>
      </c:valAx>
      <c:valAx>
        <c:axId val="117537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535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Measurement!$U$16:$U$40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58-4CFF-94B4-D9BC66D3E1C0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Measurement!$V$16:$V$40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58-4CFF-94B4-D9BC66D3E1C0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Measurement!$U$44:$U$68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58-4CFF-94B4-D9BC66D3E1C0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Measurement!$V$44:$V$68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58-4CFF-94B4-D9BC66D3E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48384"/>
        <c:axId val="117666944"/>
      </c:scatterChart>
      <c:valAx>
        <c:axId val="11764838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666944"/>
        <c:crosses val="autoZero"/>
        <c:crossBetween val="midCat"/>
        <c:majorUnit val="10"/>
      </c:valAx>
      <c:valAx>
        <c:axId val="1176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64838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Measurement!$Y$16:$Y$40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9-467F-B937-970D00CF8A9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Measurement!$Z$16:$Z$40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9-467F-B937-970D00CF8A9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Measurement!$Y$44:$Y$68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79-467F-B937-970D00CF8A9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Measurement!$Z$44:$Z$68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79-467F-B937-970D00CF8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20576"/>
        <c:axId val="117722496"/>
      </c:scatterChart>
      <c:valAx>
        <c:axId val="11772057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722496"/>
        <c:crosses val="autoZero"/>
        <c:crossBetween val="midCat"/>
        <c:majorUnit val="10"/>
      </c:valAx>
      <c:valAx>
        <c:axId val="117722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72057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Measurement!$AA$16:$AA$40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B-4618-BD3C-00861E16C3F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Measurement!$AB$16:$AB$40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BB-4618-BD3C-00861E16C3F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Measurement!$AA$44:$AA$68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BB-4618-BD3C-00861E16C3F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Measurement!$AB$44:$AB$68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BB-4618-BD3C-00861E1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5264"/>
        <c:axId val="117761536"/>
      </c:scatterChart>
      <c:valAx>
        <c:axId val="11775526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761536"/>
        <c:crosses val="autoZero"/>
        <c:crossBetween val="midCat"/>
        <c:majorUnit val="10"/>
      </c:valAx>
      <c:valAx>
        <c:axId val="117761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75526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Measurement!$AC$16:$AC$40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06-4E58-AD53-13ECC631E15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Measurement!$AD$16:$AD$40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06-4E58-AD53-13ECC631E15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Measurement!$AC$44:$AC$68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06-4E58-AD53-13ECC631E15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Measurement!$AD$44:$AD$68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06-4E58-AD53-13ECC631E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6592"/>
        <c:axId val="117808512"/>
      </c:scatterChart>
      <c:valAx>
        <c:axId val="11780659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808512"/>
        <c:crosses val="autoZero"/>
        <c:crossBetween val="midCat"/>
        <c:majorUnit val="10"/>
      </c:valAx>
      <c:valAx>
        <c:axId val="117808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80659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Measurement!$AE$16:$AE$40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3-4A37-B01C-96D1A7FB05F5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Measurement!$AF$16:$AF$40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3-4A37-B01C-96D1A7FB05F5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Measurement!$AE$44:$AE$68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B3-4A37-B01C-96D1A7FB05F5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Measurement!$AF$44:$AF$68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B3-4A37-B01C-96D1A7FB0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62400"/>
        <c:axId val="117864320"/>
      </c:scatterChart>
      <c:valAx>
        <c:axId val="11786240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864320"/>
        <c:crosses val="autoZero"/>
        <c:crossBetween val="midCat"/>
        <c:majorUnit val="10"/>
      </c:valAx>
      <c:valAx>
        <c:axId val="117864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786240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Measurement!$AI$16:$AI$40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3D-444E-8386-75483D9B3D1A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Measurement!$AJ$16:$AJ$40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3D-444E-8386-75483D9B3D1A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Measurement!$AI$44:$AI$68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3D-444E-8386-75483D9B3D1A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Measurement!$AJ$44:$AJ$68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3D-444E-8386-75483D9B3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54560"/>
        <c:axId val="119169024"/>
      </c:scatterChart>
      <c:valAx>
        <c:axId val="119154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169024"/>
        <c:crosses val="autoZero"/>
        <c:crossBetween val="midCat"/>
        <c:majorUnit val="10"/>
      </c:valAx>
      <c:valAx>
        <c:axId val="11916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15456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Measurement!$AK$16:$AK$40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E-4045-AA25-06DFE9CB92E9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Measurement!$AL$16:$AL$40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E-4045-AA25-06DFE9CB92E9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Measurement!$AK$44:$AK$68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5E-4045-AA25-06DFE9CB92E9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Measurement!$AL$44:$AL$68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5E-4045-AA25-06DFE9CB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5248"/>
        <c:axId val="119080448"/>
      </c:scatterChart>
      <c:valAx>
        <c:axId val="11920524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080448"/>
        <c:crosses val="autoZero"/>
        <c:crossBetween val="midCat"/>
        <c:majorUnit val="10"/>
      </c:valAx>
      <c:valAx>
        <c:axId val="119080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20524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Measurement!$AM$16:$AM$40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53-4920-A73B-2897594C1A10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Measurement!$AN$16:$AN$40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53-4920-A73B-2897594C1A10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Measurement!$AM$44:$AM$68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53-4920-A73B-2897594C1A10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Measurement!$AN$44:$AN$68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53-4920-A73B-2897594C1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33696"/>
        <c:axId val="119135616"/>
      </c:scatterChart>
      <c:valAx>
        <c:axId val="1191336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135616"/>
        <c:crosses val="autoZero"/>
        <c:crossBetween val="midCat"/>
        <c:majorUnit val="10"/>
      </c:valAx>
      <c:valAx>
        <c:axId val="119135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1336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Measurement!$AO$16:$AO$40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F0-447E-B514-88D80EF1CB7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Measurement!$AP$16:$AP$40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F0-447E-B514-88D80EF1CB7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Measurement!$AO$44:$AO$68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F0-447E-B514-88D80EF1CB7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Measurement!$AP$44:$AP$68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F0-447E-B514-88D80EF1C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03872"/>
        <c:axId val="119518336"/>
      </c:scatterChart>
      <c:valAx>
        <c:axId val="119503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518336"/>
        <c:crosses val="autoZero"/>
        <c:crossBetween val="midCat"/>
        <c:majorUnit val="10"/>
      </c:valAx>
      <c:valAx>
        <c:axId val="11951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503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Measurement!$AS$16:$AS$40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7-44EB-9E10-9441CA759454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Measurement!$AT$16:$AT$40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67-44EB-9E10-9441CA759454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Measurement!$AS$44:$AS$68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67-44EB-9E10-9441CA759454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Measurement!$AT$44:$AT$68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67-44EB-9E10-9441CA759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63008"/>
        <c:axId val="119564928"/>
      </c:scatterChart>
      <c:valAx>
        <c:axId val="11956300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564928"/>
        <c:crosses val="autoZero"/>
        <c:crossBetween val="midCat"/>
        <c:majorUnit val="10"/>
      </c:valAx>
      <c:valAx>
        <c:axId val="11956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56300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Measurement!$AU$16:$AU$40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8-4C95-85AA-7FE62CDCA7C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Measurement!$AV$16:$AV$40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8-4C95-85AA-7FE62CDCA7C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Measurement!$AU$44:$AU$68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8-4C95-85AA-7FE62CDCA7C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Measurement!$AV$44:$AV$68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98-4C95-85AA-7FE62CDCA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97696"/>
        <c:axId val="119677696"/>
      </c:scatterChart>
      <c:valAx>
        <c:axId val="1195976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677696"/>
        <c:crosses val="autoZero"/>
        <c:crossBetween val="midCat"/>
        <c:majorUnit val="10"/>
      </c:valAx>
      <c:valAx>
        <c:axId val="119677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5976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Measurement!$AW$16:$AW$40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2-464D-B61D-9BA9A13A95EB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Measurement!$AX$16:$AX$40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2-464D-B61D-9BA9A13A95EB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Measurement!$AW$44:$AW$68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2-464D-B61D-9BA9A13A95EB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Measurement!$AX$44:$AX$68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42-464D-B61D-9BA9A13A9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18656"/>
        <c:axId val="119720576"/>
      </c:scatterChart>
      <c:valAx>
        <c:axId val="11971865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20576"/>
        <c:crosses val="autoZero"/>
        <c:crossBetween val="midCat"/>
        <c:majorUnit val="10"/>
      </c:valAx>
      <c:valAx>
        <c:axId val="119720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1865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Measurement!$AY$16:$AY$40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6-448C-A37A-D593E3EEE33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Measurement!$AZ$16:$AZ$40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36-448C-A37A-D593E3EEE33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Measurement!$AY$44:$AY$68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36-448C-A37A-D593E3EEE33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Measurement!$AZ$44:$AZ$68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36-448C-A37A-D593E3EE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69728"/>
        <c:axId val="119784192"/>
      </c:scatterChart>
      <c:valAx>
        <c:axId val="11976972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84192"/>
        <c:crosses val="autoZero"/>
        <c:crossBetween val="midCat"/>
        <c:majorUnit val="10"/>
      </c:valAx>
      <c:valAx>
        <c:axId val="119784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76972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Measurement!$BC$16:$BC$40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E0-42F7-A417-353C8EBA443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Measurement!$BD$16:$BD$40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E0-42F7-A417-353C8EBA443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Measurement!$BC$44:$BC$68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E0-42F7-A417-353C8EBA443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Measurement!$BD$44:$BD$68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E0-42F7-A417-353C8EBA4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8896"/>
        <c:axId val="115890816"/>
      </c:scatterChart>
      <c:valAx>
        <c:axId val="1158888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890816"/>
        <c:crosses val="autoZero"/>
        <c:crossBetween val="midCat"/>
        <c:majorUnit val="10"/>
      </c:valAx>
      <c:valAx>
        <c:axId val="115890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8888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Measurement!$BE$16:$BE$40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51-4DA3-B93E-9EB9106C966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Measurement!$BF$16:$BF$40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51-4DA3-B93E-9EB9106C966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Measurement!$BE$44:$BE$68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51-4DA3-B93E-9EB9106C966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Measurement!$BF$44:$BF$68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51-4DA3-B93E-9EB9106C9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35872"/>
        <c:axId val="115942144"/>
      </c:scatterChart>
      <c:valAx>
        <c:axId val="115935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942144"/>
        <c:crosses val="autoZero"/>
        <c:crossBetween val="midCat"/>
        <c:majorUnit val="10"/>
      </c:valAx>
      <c:valAx>
        <c:axId val="115942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935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Measurement!$BG$16:$BG$40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2D-4F53-A611-82526C92A24F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Measurement!$BH$16:$BH$40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2D-4F53-A611-82526C92A24F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Measurement!$BG$44:$BG$68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2D-4F53-A611-82526C92A24F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Measurement!$BH$44:$BH$68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2D-4F53-A611-82526C92A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87200"/>
        <c:axId val="115989120"/>
      </c:scatterChart>
      <c:valAx>
        <c:axId val="11598720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989120"/>
        <c:crosses val="autoZero"/>
        <c:crossBetween val="midCat"/>
        <c:majorUnit val="10"/>
      </c:valAx>
      <c:valAx>
        <c:axId val="11598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98720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Measurement!$BM$16:$BM$40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2-4042-9D2A-25C8E5006D4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Measurement!$BN$16:$BN$40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2-4042-9D2A-25C8E5006D4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Measurement!$BM$44:$BM$68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2-4042-9D2A-25C8E5006D4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Measurement!$BN$44:$BN$68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2-4042-9D2A-25C8E5006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42368"/>
        <c:axId val="116052736"/>
      </c:scatterChart>
      <c:valAx>
        <c:axId val="1160423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052736"/>
        <c:crosses val="autoZero"/>
        <c:crossBetween val="midCat"/>
        <c:majorUnit val="10"/>
      </c:valAx>
      <c:valAx>
        <c:axId val="11605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60423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Measurement!$BK$16:$BK$40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16-4FBB-818B-51D994B5269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Measurement!$BL$16:$BL$40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16-4FBB-818B-51D994B5269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Measurement!$BK$44:$BK$68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16-4FBB-818B-51D994B5269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Measurement!$BL$44:$BL$68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6-4FBB-818B-51D994B5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91072"/>
        <c:axId val="119892992"/>
      </c:scatterChart>
      <c:valAx>
        <c:axId val="1198910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892992"/>
        <c:crosses val="autoZero"/>
        <c:crossBetween val="midCat"/>
        <c:majorUnit val="10"/>
      </c:valAx>
      <c:valAx>
        <c:axId val="11989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98910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Measurement!$BM$16:$BM$40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57-4387-8C5E-078D2AC523AA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Measurement!$B$16:$B$40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Measurement!$BN$16:$BN$40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57-4387-8C5E-078D2AC523AA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Measurement!$BM$44:$BM$68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57-4387-8C5E-078D2AC523AA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Measurement!$B$44:$B$68</c:f>
              <c:numCache>
                <c:formatCode>General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</c:numCache>
            </c:numRef>
          </c:xVal>
          <c:yVal>
            <c:numRef>
              <c:f>Measurement!$BN$44:$BN$68</c:f>
              <c:numCache>
                <c:formatCode>0.000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57-4387-8C5E-078D2AC5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5712"/>
        <c:axId val="121317632"/>
      </c:scatterChart>
      <c:valAx>
        <c:axId val="12131571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317632"/>
        <c:crosses val="autoZero"/>
        <c:crossBetween val="midCat"/>
        <c:majorUnit val="10"/>
      </c:valAx>
      <c:valAx>
        <c:axId val="12131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131571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36021</xdr:colOff>
      <xdr:row>1</xdr:row>
      <xdr:rowOff>73479</xdr:rowOff>
    </xdr:from>
    <xdr:to>
      <xdr:col>21</xdr:col>
      <xdr:colOff>464646</xdr:colOff>
      <xdr:row>12</xdr:row>
      <xdr:rowOff>130629</xdr:rowOff>
    </xdr:to>
    <xdr:graphicFrame macro="">
      <xdr:nvGraphicFramePr>
        <xdr:cNvPr id="4212" name="Diagramm 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</xdr:row>
          <xdr:rowOff>161925</xdr:rowOff>
        </xdr:from>
        <xdr:to>
          <xdr:col>1</xdr:col>
          <xdr:colOff>581025</xdr:colOff>
          <xdr:row>12</xdr:row>
          <xdr:rowOff>171450</xdr:rowOff>
        </xdr:to>
        <xdr:sp macro="" textlink="">
          <xdr:nvSpPr>
            <xdr:cNvPr id="4120" name="cmdMeasure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5</xdr:row>
          <xdr:rowOff>95250</xdr:rowOff>
        </xdr:from>
        <xdr:to>
          <xdr:col>14</xdr:col>
          <xdr:colOff>552450</xdr:colOff>
          <xdr:row>8</xdr:row>
          <xdr:rowOff>28575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before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8</xdr:row>
          <xdr:rowOff>95250</xdr:rowOff>
        </xdr:from>
        <xdr:to>
          <xdr:col>14</xdr:col>
          <xdr:colOff>552450</xdr:colOff>
          <xdr:row>11</xdr:row>
          <xdr:rowOff>57150</xdr:rowOff>
        </xdr:to>
        <xdr:sp macro="" textlink="">
          <xdr:nvSpPr>
            <xdr:cNvPr id="4122" name="Button 26" descr="Get Data after txt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after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8</xdr:row>
      <xdr:rowOff>0</xdr:rowOff>
    </xdr:from>
    <xdr:to>
      <xdr:col>12</xdr:col>
      <xdr:colOff>220700</xdr:colOff>
      <xdr:row>14</xdr:row>
      <xdr:rowOff>110150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2609850"/>
          <a:ext cx="4030700" cy="1519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38100</xdr:rowOff>
    </xdr:from>
    <xdr:to>
      <xdr:col>0</xdr:col>
      <xdr:colOff>2667000</xdr:colOff>
      <xdr:row>1</xdr:row>
      <xdr:rowOff>2543175</xdr:rowOff>
    </xdr:to>
    <xdr:graphicFrame macro="">
      <xdr:nvGraphicFramePr>
        <xdr:cNvPr id="1127457" name="Diagramm 1">
          <a:extLst>
            <a:ext uri="{FF2B5EF4-FFF2-40B4-BE49-F238E27FC236}">
              <a16:creationId xmlns:a16="http://schemas.microsoft.com/office/drawing/2014/main" id="{00000000-0008-0000-0100-000021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25295</xdr:colOff>
      <xdr:row>1</xdr:row>
      <xdr:rowOff>42903</xdr:rowOff>
    </xdr:from>
    <xdr:to>
      <xdr:col>1</xdr:col>
      <xdr:colOff>2650822</xdr:colOff>
      <xdr:row>1</xdr:row>
      <xdr:rowOff>2530928</xdr:rowOff>
    </xdr:to>
    <xdr:graphicFrame macro="">
      <xdr:nvGraphicFramePr>
        <xdr:cNvPr id="1127458" name="Diagramm 1">
          <a:extLst>
            <a:ext uri="{FF2B5EF4-FFF2-40B4-BE49-F238E27FC236}">
              <a16:creationId xmlns:a16="http://schemas.microsoft.com/office/drawing/2014/main" id="{00000000-0008-0000-0100-000022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38100</xdr:colOff>
      <xdr:row>1</xdr:row>
      <xdr:rowOff>38100</xdr:rowOff>
    </xdr:from>
    <xdr:to>
      <xdr:col>2</xdr:col>
      <xdr:colOff>2686050</xdr:colOff>
      <xdr:row>1</xdr:row>
      <xdr:rowOff>2543175</xdr:rowOff>
    </xdr:to>
    <xdr:graphicFrame macro="">
      <xdr:nvGraphicFramePr>
        <xdr:cNvPr id="1127459" name="Diagramm 1">
          <a:extLst>
            <a:ext uri="{FF2B5EF4-FFF2-40B4-BE49-F238E27FC236}">
              <a16:creationId xmlns:a16="http://schemas.microsoft.com/office/drawing/2014/main" id="{00000000-0008-0000-0100-000023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</xdr:colOff>
      <xdr:row>1</xdr:row>
      <xdr:rowOff>38100</xdr:rowOff>
    </xdr:from>
    <xdr:to>
      <xdr:col>3</xdr:col>
      <xdr:colOff>2686050</xdr:colOff>
      <xdr:row>1</xdr:row>
      <xdr:rowOff>2543175</xdr:rowOff>
    </xdr:to>
    <xdr:graphicFrame macro="">
      <xdr:nvGraphicFramePr>
        <xdr:cNvPr id="1127460" name="Diagramm 1">
          <a:extLst>
            <a:ext uri="{FF2B5EF4-FFF2-40B4-BE49-F238E27FC236}">
              <a16:creationId xmlns:a16="http://schemas.microsoft.com/office/drawing/2014/main" id="{00000000-0008-0000-0100-000024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28575</xdr:colOff>
      <xdr:row>1</xdr:row>
      <xdr:rowOff>38100</xdr:rowOff>
    </xdr:from>
    <xdr:to>
      <xdr:col>4</xdr:col>
      <xdr:colOff>2676525</xdr:colOff>
      <xdr:row>1</xdr:row>
      <xdr:rowOff>2543175</xdr:rowOff>
    </xdr:to>
    <xdr:graphicFrame macro="">
      <xdr:nvGraphicFramePr>
        <xdr:cNvPr id="1127461" name="Diagramm 1">
          <a:extLst>
            <a:ext uri="{FF2B5EF4-FFF2-40B4-BE49-F238E27FC236}">
              <a16:creationId xmlns:a16="http://schemas.microsoft.com/office/drawing/2014/main" id="{00000000-0008-0000-0100-000025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4</xdr:row>
      <xdr:rowOff>47625</xdr:rowOff>
    </xdr:from>
    <xdr:to>
      <xdr:col>0</xdr:col>
      <xdr:colOff>2686050</xdr:colOff>
      <xdr:row>4</xdr:row>
      <xdr:rowOff>2552700</xdr:rowOff>
    </xdr:to>
    <xdr:graphicFrame macro="">
      <xdr:nvGraphicFramePr>
        <xdr:cNvPr id="1127462" name="Diagramm 1">
          <a:extLst>
            <a:ext uri="{FF2B5EF4-FFF2-40B4-BE49-F238E27FC236}">
              <a16:creationId xmlns:a16="http://schemas.microsoft.com/office/drawing/2014/main" id="{00000000-0008-0000-0100-000026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7</xdr:row>
      <xdr:rowOff>47625</xdr:rowOff>
    </xdr:from>
    <xdr:to>
      <xdr:col>0</xdr:col>
      <xdr:colOff>2686050</xdr:colOff>
      <xdr:row>7</xdr:row>
      <xdr:rowOff>2552700</xdr:rowOff>
    </xdr:to>
    <xdr:graphicFrame macro="">
      <xdr:nvGraphicFramePr>
        <xdr:cNvPr id="1127463" name="Diagramm 1">
          <a:extLst>
            <a:ext uri="{FF2B5EF4-FFF2-40B4-BE49-F238E27FC236}">
              <a16:creationId xmlns:a16="http://schemas.microsoft.com/office/drawing/2014/main" id="{00000000-0008-0000-0100-000027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28575</xdr:colOff>
      <xdr:row>10</xdr:row>
      <xdr:rowOff>38100</xdr:rowOff>
    </xdr:from>
    <xdr:to>
      <xdr:col>0</xdr:col>
      <xdr:colOff>2676525</xdr:colOff>
      <xdr:row>10</xdr:row>
      <xdr:rowOff>2543175</xdr:rowOff>
    </xdr:to>
    <xdr:graphicFrame macro="">
      <xdr:nvGraphicFramePr>
        <xdr:cNvPr id="1127464" name="Diagramm 1">
          <a:extLst>
            <a:ext uri="{FF2B5EF4-FFF2-40B4-BE49-F238E27FC236}">
              <a16:creationId xmlns:a16="http://schemas.microsoft.com/office/drawing/2014/main" id="{00000000-0008-0000-0100-000028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13</xdr:row>
      <xdr:rowOff>38100</xdr:rowOff>
    </xdr:from>
    <xdr:to>
      <xdr:col>0</xdr:col>
      <xdr:colOff>2686050</xdr:colOff>
      <xdr:row>13</xdr:row>
      <xdr:rowOff>2543175</xdr:rowOff>
    </xdr:to>
    <xdr:graphicFrame macro="">
      <xdr:nvGraphicFramePr>
        <xdr:cNvPr id="1127465" name="Diagramm 1">
          <a:extLst>
            <a:ext uri="{FF2B5EF4-FFF2-40B4-BE49-F238E27FC236}">
              <a16:creationId xmlns:a16="http://schemas.microsoft.com/office/drawing/2014/main" id="{00000000-0008-0000-0100-000029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</xdr:colOff>
      <xdr:row>16</xdr:row>
      <xdr:rowOff>38100</xdr:rowOff>
    </xdr:from>
    <xdr:to>
      <xdr:col>0</xdr:col>
      <xdr:colOff>2686050</xdr:colOff>
      <xdr:row>16</xdr:row>
      <xdr:rowOff>2543175</xdr:rowOff>
    </xdr:to>
    <xdr:graphicFrame macro="">
      <xdr:nvGraphicFramePr>
        <xdr:cNvPr id="1127466" name="Diagramm 1">
          <a:extLst>
            <a:ext uri="{FF2B5EF4-FFF2-40B4-BE49-F238E27FC236}">
              <a16:creationId xmlns:a16="http://schemas.microsoft.com/office/drawing/2014/main" id="{00000000-0008-0000-0100-00002A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57150</xdr:colOff>
      <xdr:row>4</xdr:row>
      <xdr:rowOff>47625</xdr:rowOff>
    </xdr:from>
    <xdr:to>
      <xdr:col>1</xdr:col>
      <xdr:colOff>2705100</xdr:colOff>
      <xdr:row>4</xdr:row>
      <xdr:rowOff>2552700</xdr:rowOff>
    </xdr:to>
    <xdr:graphicFrame macro="">
      <xdr:nvGraphicFramePr>
        <xdr:cNvPr id="1127467" name="Diagramm 1">
          <a:extLst>
            <a:ext uri="{FF2B5EF4-FFF2-40B4-BE49-F238E27FC236}">
              <a16:creationId xmlns:a16="http://schemas.microsoft.com/office/drawing/2014/main" id="{00000000-0008-0000-0100-00002B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38100</xdr:colOff>
      <xdr:row>4</xdr:row>
      <xdr:rowOff>47625</xdr:rowOff>
    </xdr:from>
    <xdr:to>
      <xdr:col>2</xdr:col>
      <xdr:colOff>2686050</xdr:colOff>
      <xdr:row>4</xdr:row>
      <xdr:rowOff>2552700</xdr:rowOff>
    </xdr:to>
    <xdr:graphicFrame macro="">
      <xdr:nvGraphicFramePr>
        <xdr:cNvPr id="1127468" name="Diagramm 1">
          <a:extLst>
            <a:ext uri="{FF2B5EF4-FFF2-40B4-BE49-F238E27FC236}">
              <a16:creationId xmlns:a16="http://schemas.microsoft.com/office/drawing/2014/main" id="{00000000-0008-0000-0100-00002C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38100</xdr:colOff>
      <xdr:row>4</xdr:row>
      <xdr:rowOff>47625</xdr:rowOff>
    </xdr:from>
    <xdr:to>
      <xdr:col>3</xdr:col>
      <xdr:colOff>2686050</xdr:colOff>
      <xdr:row>4</xdr:row>
      <xdr:rowOff>2552700</xdr:rowOff>
    </xdr:to>
    <xdr:graphicFrame macro="">
      <xdr:nvGraphicFramePr>
        <xdr:cNvPr id="1127469" name="Diagramm 1">
          <a:extLst>
            <a:ext uri="{FF2B5EF4-FFF2-40B4-BE49-F238E27FC236}">
              <a16:creationId xmlns:a16="http://schemas.microsoft.com/office/drawing/2014/main" id="{00000000-0008-0000-0100-00002D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38100</xdr:colOff>
      <xdr:row>4</xdr:row>
      <xdr:rowOff>47625</xdr:rowOff>
    </xdr:from>
    <xdr:to>
      <xdr:col>4</xdr:col>
      <xdr:colOff>2686050</xdr:colOff>
      <xdr:row>4</xdr:row>
      <xdr:rowOff>2552700</xdr:rowOff>
    </xdr:to>
    <xdr:graphicFrame macro="">
      <xdr:nvGraphicFramePr>
        <xdr:cNvPr id="1127470" name="Diagramm 1">
          <a:extLst>
            <a:ext uri="{FF2B5EF4-FFF2-40B4-BE49-F238E27FC236}">
              <a16:creationId xmlns:a16="http://schemas.microsoft.com/office/drawing/2014/main" id="{00000000-0008-0000-0100-00002E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38100</xdr:colOff>
      <xdr:row>7</xdr:row>
      <xdr:rowOff>47625</xdr:rowOff>
    </xdr:from>
    <xdr:to>
      <xdr:col>1</xdr:col>
      <xdr:colOff>2686050</xdr:colOff>
      <xdr:row>7</xdr:row>
      <xdr:rowOff>2552700</xdr:rowOff>
    </xdr:to>
    <xdr:graphicFrame macro="">
      <xdr:nvGraphicFramePr>
        <xdr:cNvPr id="1127471" name="Diagramm 1">
          <a:extLst>
            <a:ext uri="{FF2B5EF4-FFF2-40B4-BE49-F238E27FC236}">
              <a16:creationId xmlns:a16="http://schemas.microsoft.com/office/drawing/2014/main" id="{00000000-0008-0000-0100-00002F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38100</xdr:colOff>
      <xdr:row>7</xdr:row>
      <xdr:rowOff>47625</xdr:rowOff>
    </xdr:from>
    <xdr:to>
      <xdr:col>2</xdr:col>
      <xdr:colOff>2686050</xdr:colOff>
      <xdr:row>7</xdr:row>
      <xdr:rowOff>2552700</xdr:rowOff>
    </xdr:to>
    <xdr:graphicFrame macro="">
      <xdr:nvGraphicFramePr>
        <xdr:cNvPr id="1127472" name="Diagramm 1">
          <a:extLst>
            <a:ext uri="{FF2B5EF4-FFF2-40B4-BE49-F238E27FC236}">
              <a16:creationId xmlns:a16="http://schemas.microsoft.com/office/drawing/2014/main" id="{00000000-0008-0000-0100-000030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47625</xdr:colOff>
      <xdr:row>7</xdr:row>
      <xdr:rowOff>47625</xdr:rowOff>
    </xdr:from>
    <xdr:to>
      <xdr:col>3</xdr:col>
      <xdr:colOff>2695575</xdr:colOff>
      <xdr:row>7</xdr:row>
      <xdr:rowOff>2552700</xdr:rowOff>
    </xdr:to>
    <xdr:graphicFrame macro="">
      <xdr:nvGraphicFramePr>
        <xdr:cNvPr id="1127473" name="Diagramm 1">
          <a:extLst>
            <a:ext uri="{FF2B5EF4-FFF2-40B4-BE49-F238E27FC236}">
              <a16:creationId xmlns:a16="http://schemas.microsoft.com/office/drawing/2014/main" id="{00000000-0008-0000-0100-000031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38100</xdr:colOff>
      <xdr:row>7</xdr:row>
      <xdr:rowOff>47625</xdr:rowOff>
    </xdr:from>
    <xdr:to>
      <xdr:col>4</xdr:col>
      <xdr:colOff>2686050</xdr:colOff>
      <xdr:row>7</xdr:row>
      <xdr:rowOff>2552700</xdr:rowOff>
    </xdr:to>
    <xdr:graphicFrame macro="">
      <xdr:nvGraphicFramePr>
        <xdr:cNvPr id="1127474" name="Diagramm 1">
          <a:extLst>
            <a:ext uri="{FF2B5EF4-FFF2-40B4-BE49-F238E27FC236}">
              <a16:creationId xmlns:a16="http://schemas.microsoft.com/office/drawing/2014/main" id="{00000000-0008-0000-0100-000032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28575</xdr:colOff>
      <xdr:row>10</xdr:row>
      <xdr:rowOff>38100</xdr:rowOff>
    </xdr:from>
    <xdr:to>
      <xdr:col>1</xdr:col>
      <xdr:colOff>2676525</xdr:colOff>
      <xdr:row>10</xdr:row>
      <xdr:rowOff>2543175</xdr:rowOff>
    </xdr:to>
    <xdr:graphicFrame macro="">
      <xdr:nvGraphicFramePr>
        <xdr:cNvPr id="1127475" name="Diagramm 1">
          <a:extLst>
            <a:ext uri="{FF2B5EF4-FFF2-40B4-BE49-F238E27FC236}">
              <a16:creationId xmlns:a16="http://schemas.microsoft.com/office/drawing/2014/main" id="{00000000-0008-0000-0100-000033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28575</xdr:colOff>
      <xdr:row>10</xdr:row>
      <xdr:rowOff>38100</xdr:rowOff>
    </xdr:from>
    <xdr:to>
      <xdr:col>2</xdr:col>
      <xdr:colOff>2676525</xdr:colOff>
      <xdr:row>10</xdr:row>
      <xdr:rowOff>2543175</xdr:rowOff>
    </xdr:to>
    <xdr:graphicFrame macro="">
      <xdr:nvGraphicFramePr>
        <xdr:cNvPr id="1127476" name="Diagramm 1">
          <a:extLst>
            <a:ext uri="{FF2B5EF4-FFF2-40B4-BE49-F238E27FC236}">
              <a16:creationId xmlns:a16="http://schemas.microsoft.com/office/drawing/2014/main" id="{00000000-0008-0000-0100-000034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47625</xdr:colOff>
      <xdr:row>10</xdr:row>
      <xdr:rowOff>38100</xdr:rowOff>
    </xdr:from>
    <xdr:to>
      <xdr:col>3</xdr:col>
      <xdr:colOff>2695575</xdr:colOff>
      <xdr:row>10</xdr:row>
      <xdr:rowOff>2543175</xdr:rowOff>
    </xdr:to>
    <xdr:graphicFrame macro="">
      <xdr:nvGraphicFramePr>
        <xdr:cNvPr id="1127477" name="Diagramm 1">
          <a:extLst>
            <a:ext uri="{FF2B5EF4-FFF2-40B4-BE49-F238E27FC236}">
              <a16:creationId xmlns:a16="http://schemas.microsoft.com/office/drawing/2014/main" id="{00000000-0008-0000-0100-000035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28575</xdr:colOff>
      <xdr:row>10</xdr:row>
      <xdr:rowOff>38100</xdr:rowOff>
    </xdr:from>
    <xdr:to>
      <xdr:col>4</xdr:col>
      <xdr:colOff>2676525</xdr:colOff>
      <xdr:row>10</xdr:row>
      <xdr:rowOff>2543175</xdr:rowOff>
    </xdr:to>
    <xdr:graphicFrame macro="">
      <xdr:nvGraphicFramePr>
        <xdr:cNvPr id="1127478" name="Diagramm 1">
          <a:extLst>
            <a:ext uri="{FF2B5EF4-FFF2-40B4-BE49-F238E27FC236}">
              <a16:creationId xmlns:a16="http://schemas.microsoft.com/office/drawing/2014/main" id="{00000000-0008-0000-0100-000036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38100</xdr:colOff>
      <xdr:row>13</xdr:row>
      <xdr:rowOff>38100</xdr:rowOff>
    </xdr:from>
    <xdr:to>
      <xdr:col>1</xdr:col>
      <xdr:colOff>2686050</xdr:colOff>
      <xdr:row>13</xdr:row>
      <xdr:rowOff>2543175</xdr:rowOff>
    </xdr:to>
    <xdr:graphicFrame macro="">
      <xdr:nvGraphicFramePr>
        <xdr:cNvPr id="1127479" name="Diagramm 1">
          <a:extLst>
            <a:ext uri="{FF2B5EF4-FFF2-40B4-BE49-F238E27FC236}">
              <a16:creationId xmlns:a16="http://schemas.microsoft.com/office/drawing/2014/main" id="{00000000-0008-0000-0100-000037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38100</xdr:colOff>
      <xdr:row>13</xdr:row>
      <xdr:rowOff>38100</xdr:rowOff>
    </xdr:from>
    <xdr:to>
      <xdr:col>2</xdr:col>
      <xdr:colOff>2686050</xdr:colOff>
      <xdr:row>13</xdr:row>
      <xdr:rowOff>2543175</xdr:rowOff>
    </xdr:to>
    <xdr:graphicFrame macro="">
      <xdr:nvGraphicFramePr>
        <xdr:cNvPr id="1127480" name="Diagramm 1">
          <a:extLst>
            <a:ext uri="{FF2B5EF4-FFF2-40B4-BE49-F238E27FC236}">
              <a16:creationId xmlns:a16="http://schemas.microsoft.com/office/drawing/2014/main" id="{00000000-0008-0000-0100-000038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28575</xdr:colOff>
      <xdr:row>13</xdr:row>
      <xdr:rowOff>38100</xdr:rowOff>
    </xdr:from>
    <xdr:to>
      <xdr:col>3</xdr:col>
      <xdr:colOff>2676525</xdr:colOff>
      <xdr:row>13</xdr:row>
      <xdr:rowOff>2543175</xdr:rowOff>
    </xdr:to>
    <xdr:graphicFrame macro="">
      <xdr:nvGraphicFramePr>
        <xdr:cNvPr id="1127481" name="Diagramm 1">
          <a:extLst>
            <a:ext uri="{FF2B5EF4-FFF2-40B4-BE49-F238E27FC236}">
              <a16:creationId xmlns:a16="http://schemas.microsoft.com/office/drawing/2014/main" id="{00000000-0008-0000-0100-000039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38100</xdr:colOff>
      <xdr:row>13</xdr:row>
      <xdr:rowOff>38100</xdr:rowOff>
    </xdr:from>
    <xdr:to>
      <xdr:col>4</xdr:col>
      <xdr:colOff>2686050</xdr:colOff>
      <xdr:row>13</xdr:row>
      <xdr:rowOff>2543175</xdr:rowOff>
    </xdr:to>
    <xdr:graphicFrame macro="">
      <xdr:nvGraphicFramePr>
        <xdr:cNvPr id="1127482" name="Diagramm 1">
          <a:extLst>
            <a:ext uri="{FF2B5EF4-FFF2-40B4-BE49-F238E27FC236}">
              <a16:creationId xmlns:a16="http://schemas.microsoft.com/office/drawing/2014/main" id="{00000000-0008-0000-0100-00003A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38100</xdr:colOff>
      <xdr:row>16</xdr:row>
      <xdr:rowOff>38100</xdr:rowOff>
    </xdr:from>
    <xdr:to>
      <xdr:col>1</xdr:col>
      <xdr:colOff>2686050</xdr:colOff>
      <xdr:row>16</xdr:row>
      <xdr:rowOff>2543175</xdr:rowOff>
    </xdr:to>
    <xdr:graphicFrame macro="">
      <xdr:nvGraphicFramePr>
        <xdr:cNvPr id="1127483" name="Diagramm 1">
          <a:extLst>
            <a:ext uri="{FF2B5EF4-FFF2-40B4-BE49-F238E27FC236}">
              <a16:creationId xmlns:a16="http://schemas.microsoft.com/office/drawing/2014/main" id="{00000000-0008-0000-0100-00003B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38100</xdr:colOff>
      <xdr:row>16</xdr:row>
      <xdr:rowOff>38100</xdr:rowOff>
    </xdr:from>
    <xdr:to>
      <xdr:col>2</xdr:col>
      <xdr:colOff>2686050</xdr:colOff>
      <xdr:row>16</xdr:row>
      <xdr:rowOff>2543175</xdr:rowOff>
    </xdr:to>
    <xdr:graphicFrame macro="">
      <xdr:nvGraphicFramePr>
        <xdr:cNvPr id="1127484" name="Diagramm 1">
          <a:extLst>
            <a:ext uri="{FF2B5EF4-FFF2-40B4-BE49-F238E27FC236}">
              <a16:creationId xmlns:a16="http://schemas.microsoft.com/office/drawing/2014/main" id="{00000000-0008-0000-0100-00003C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</xdr:col>
      <xdr:colOff>38100</xdr:colOff>
      <xdr:row>16</xdr:row>
      <xdr:rowOff>38100</xdr:rowOff>
    </xdr:from>
    <xdr:to>
      <xdr:col>3</xdr:col>
      <xdr:colOff>2686050</xdr:colOff>
      <xdr:row>16</xdr:row>
      <xdr:rowOff>2543175</xdr:rowOff>
    </xdr:to>
    <xdr:graphicFrame macro="">
      <xdr:nvGraphicFramePr>
        <xdr:cNvPr id="1127485" name="Diagramm 1">
          <a:extLst>
            <a:ext uri="{FF2B5EF4-FFF2-40B4-BE49-F238E27FC236}">
              <a16:creationId xmlns:a16="http://schemas.microsoft.com/office/drawing/2014/main" id="{00000000-0008-0000-0100-00003D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38100</xdr:colOff>
      <xdr:row>16</xdr:row>
      <xdr:rowOff>38100</xdr:rowOff>
    </xdr:from>
    <xdr:to>
      <xdr:col>4</xdr:col>
      <xdr:colOff>2686050</xdr:colOff>
      <xdr:row>16</xdr:row>
      <xdr:rowOff>2543175</xdr:rowOff>
    </xdr:to>
    <xdr:graphicFrame macro="">
      <xdr:nvGraphicFramePr>
        <xdr:cNvPr id="1127486" name="Diagramm 1">
          <a:extLst>
            <a:ext uri="{FF2B5EF4-FFF2-40B4-BE49-F238E27FC236}">
              <a16:creationId xmlns:a16="http://schemas.microsoft.com/office/drawing/2014/main" id="{00000000-0008-0000-0100-00003E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38100</xdr:colOff>
      <xdr:row>19</xdr:row>
      <xdr:rowOff>38100</xdr:rowOff>
    </xdr:from>
    <xdr:to>
      <xdr:col>0</xdr:col>
      <xdr:colOff>2686050</xdr:colOff>
      <xdr:row>19</xdr:row>
      <xdr:rowOff>2543175</xdr:rowOff>
    </xdr:to>
    <xdr:graphicFrame macro="">
      <xdr:nvGraphicFramePr>
        <xdr:cNvPr id="34" name="Diagramm 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38100</xdr:colOff>
      <xdr:row>19</xdr:row>
      <xdr:rowOff>38100</xdr:rowOff>
    </xdr:from>
    <xdr:to>
      <xdr:col>1</xdr:col>
      <xdr:colOff>2686050</xdr:colOff>
      <xdr:row>19</xdr:row>
      <xdr:rowOff>2543175</xdr:rowOff>
    </xdr:to>
    <xdr:graphicFrame macro="">
      <xdr:nvGraphicFramePr>
        <xdr:cNvPr id="35" name="Diagramm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eiSos\Var_Circuit_Protection\VarVD\Test_Sample\Template-IV_Graphs_KUSB_488A.xlsm" TargetMode="External"/><Relationship Id="rId1" Type="http://schemas.openxmlformats.org/officeDocument/2006/relationships/externalLinkPath" Target="Template-IV_Graphs_KUSB_488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asurement"/>
      <sheetName val="VBR&amp;Ileak"/>
      <sheetName val="Graphs"/>
    </sheetNames>
    <sheetDataSet>
      <sheetData sheetId="0">
        <row r="15">
          <cell r="B15">
            <v>0</v>
          </cell>
        </row>
        <row r="36">
          <cell r="B36">
            <v>1</v>
          </cell>
        </row>
        <row r="41">
          <cell r="B41">
            <v>10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Larissa">
  <a:themeElements>
    <a:clrScheme name="W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E3000B"/>
      </a:accent1>
      <a:accent2>
        <a:srgbClr val="000000"/>
      </a:accent2>
      <a:accent3>
        <a:srgbClr val="B2B8B6"/>
      </a:accent3>
      <a:accent4>
        <a:srgbClr val="A0DAF7"/>
      </a:accent4>
      <a:accent5>
        <a:srgbClr val="008B39"/>
      </a:accent5>
      <a:accent6>
        <a:srgbClr val="F39100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BQ124"/>
  <sheetViews>
    <sheetView tabSelected="1" zoomScale="90" zoomScaleNormal="90" workbookViewId="0">
      <pane xSplit="2" ySplit="14" topLeftCell="C15" activePane="bottomRight" state="frozen"/>
      <selection pane="bottomRight" activeCell="D89" sqref="D89"/>
      <selection pane="bottomLeft" activeCell="A15" sqref="A15"/>
      <selection pane="topRight" activeCell="B1" sqref="B1"/>
    </sheetView>
  </sheetViews>
  <sheetFormatPr defaultColWidth="11.42578125" defaultRowHeight="12.75"/>
  <cols>
    <col min="1" max="1" width="8.7109375" customWidth="1"/>
    <col min="2" max="2" width="21" customWidth="1"/>
    <col min="3" max="3" width="11" bestFit="1" customWidth="1"/>
    <col min="4" max="4" width="11.5703125" bestFit="1" customWidth="1"/>
    <col min="5" max="17" width="10" customWidth="1"/>
  </cols>
  <sheetData>
    <row r="1" spans="1:69" ht="7.5" customHeight="1"/>
    <row r="2" spans="1:69" ht="27.75" customHeight="1">
      <c r="B2" s="2" t="str">
        <f>CONCATENATE("Measurement of I/V-Curves:   ",C3)</f>
        <v xml:space="preserve">Measurement of I/V-Curves:   </v>
      </c>
    </row>
    <row r="3" spans="1:69" ht="17.25" customHeight="1">
      <c r="B3" s="13" t="s">
        <v>0</v>
      </c>
      <c r="C3" s="85"/>
      <c r="D3" s="86"/>
      <c r="G3" s="84" t="s">
        <v>1</v>
      </c>
      <c r="H3" s="84"/>
      <c r="I3" s="16">
        <v>24</v>
      </c>
      <c r="J3" s="17"/>
      <c r="L3" s="6"/>
      <c r="U3" s="43" t="s">
        <v>2</v>
      </c>
    </row>
    <row r="4" spans="1:69" ht="17.25" customHeight="1">
      <c r="B4" s="13" t="s">
        <v>3</v>
      </c>
      <c r="C4" s="12"/>
      <c r="D4" s="14" t="s">
        <v>4</v>
      </c>
      <c r="G4" s="84" t="s">
        <v>5</v>
      </c>
      <c r="H4" s="84"/>
      <c r="I4" s="16" t="s">
        <v>6</v>
      </c>
      <c r="J4" s="17"/>
      <c r="P4" t="s">
        <v>7</v>
      </c>
      <c r="Q4">
        <f>C5*(1+C6/100)</f>
        <v>0</v>
      </c>
      <c r="U4" s="56" t="s">
        <v>8</v>
      </c>
      <c r="V4" s="56" t="s">
        <v>9</v>
      </c>
      <c r="W4" s="56" t="s">
        <v>10</v>
      </c>
    </row>
    <row r="5" spans="1:69" ht="17.25" customHeight="1">
      <c r="B5" s="13" t="s">
        <v>11</v>
      </c>
      <c r="C5" s="15"/>
      <c r="D5" s="14" t="s">
        <v>12</v>
      </c>
      <c r="G5" s="84" t="s">
        <v>13</v>
      </c>
      <c r="H5" s="84"/>
      <c r="I5" s="16" t="s">
        <v>14</v>
      </c>
      <c r="J5" s="17"/>
      <c r="L5" s="10">
        <f>C5-(1-C6/100)</f>
        <v>-1</v>
      </c>
      <c r="P5" t="s">
        <v>15</v>
      </c>
      <c r="Q5">
        <f>C5*(1-C6/100)</f>
        <v>0</v>
      </c>
      <c r="T5" s="58" t="s">
        <v>16</v>
      </c>
      <c r="U5" s="57" t="e">
        <f>(BO36-$C$5)/$C$5</f>
        <v>#DIV/0!</v>
      </c>
      <c r="V5" s="57" t="e">
        <f>(BP36-$C$5)/$C$5</f>
        <v>#DIV/0!</v>
      </c>
      <c r="W5" s="57" t="e">
        <f>(BQ36-$C$5)/$C$5</f>
        <v>#DIV/0!</v>
      </c>
    </row>
    <row r="6" spans="1:69" ht="17.25" customHeight="1">
      <c r="B6" s="13" t="s">
        <v>17</v>
      </c>
      <c r="C6" s="12"/>
      <c r="D6" s="14" t="s">
        <v>18</v>
      </c>
      <c r="G6" s="84" t="s">
        <v>19</v>
      </c>
      <c r="H6" s="84"/>
      <c r="I6" s="16" t="s">
        <v>20</v>
      </c>
      <c r="J6" s="17"/>
      <c r="L6" s="10">
        <f>C5+(1-C6/100)</f>
        <v>1</v>
      </c>
      <c r="T6" s="58" t="s">
        <v>21</v>
      </c>
      <c r="U6" s="57" t="e">
        <f>(BO64-$C$5)/$C$5</f>
        <v>#DIV/0!</v>
      </c>
      <c r="V6" s="57" t="e">
        <f>(BP64-$C$5)/$C$5</f>
        <v>#DIV/0!</v>
      </c>
      <c r="W6" s="57" t="e">
        <f>(BQ64-$C$5)/$C$5</f>
        <v>#DIV/0!</v>
      </c>
    </row>
    <row r="7" spans="1:69" ht="17.25" customHeight="1">
      <c r="B7" s="13" t="s">
        <v>22</v>
      </c>
      <c r="C7" s="12"/>
      <c r="D7" s="12" t="s">
        <v>23</v>
      </c>
      <c r="G7" s="84" t="s">
        <v>24</v>
      </c>
      <c r="H7" s="84"/>
      <c r="I7" s="16">
        <v>1</v>
      </c>
      <c r="J7" s="17"/>
    </row>
    <row r="8" spans="1:69" ht="17.25" customHeight="1">
      <c r="B8" s="13" t="s">
        <v>25</v>
      </c>
      <c r="C8" s="15"/>
      <c r="D8" s="14" t="s">
        <v>12</v>
      </c>
      <c r="G8" s="84" t="s">
        <v>26</v>
      </c>
      <c r="H8" s="84"/>
      <c r="I8" s="16">
        <v>3</v>
      </c>
      <c r="J8" s="17" t="str">
        <f>IF(I8=1,"off","times")</f>
        <v>times</v>
      </c>
    </row>
    <row r="9" spans="1:69" ht="17.25" customHeight="1">
      <c r="B9" s="18" t="s">
        <v>27</v>
      </c>
      <c r="C9" s="90" t="s">
        <v>28</v>
      </c>
      <c r="D9" s="91"/>
      <c r="G9" s="87" t="s">
        <v>29</v>
      </c>
      <c r="H9" s="87"/>
      <c r="I9" s="11">
        <v>1000</v>
      </c>
      <c r="J9" s="9" t="s">
        <v>12</v>
      </c>
    </row>
    <row r="10" spans="1:69" ht="17.25" customHeight="1">
      <c r="B10" s="18" t="s">
        <v>30</v>
      </c>
      <c r="C10" s="88"/>
      <c r="D10" s="89"/>
      <c r="H10" s="1"/>
    </row>
    <row r="11" spans="1:69" ht="15">
      <c r="B11" s="18" t="s">
        <v>31</v>
      </c>
      <c r="C11" s="90"/>
      <c r="D11" s="91"/>
      <c r="G11" s="92" t="s">
        <v>32</v>
      </c>
      <c r="H11" s="92"/>
      <c r="I11" s="93"/>
      <c r="J11" s="93"/>
      <c r="K11" s="93"/>
    </row>
    <row r="12" spans="1:69" ht="15">
      <c r="B12" s="4"/>
      <c r="G12" s="92" t="s">
        <v>33</v>
      </c>
      <c r="H12" s="92"/>
      <c r="I12" s="94"/>
      <c r="J12" s="95"/>
      <c r="K12" s="95"/>
    </row>
    <row r="13" spans="1:69" ht="15">
      <c r="B13" s="4"/>
      <c r="C13" s="96"/>
      <c r="D13" s="97"/>
      <c r="E13" s="96"/>
      <c r="F13" s="97"/>
      <c r="G13" s="96"/>
      <c r="H13" s="97"/>
      <c r="I13" s="96"/>
      <c r="J13" s="97"/>
      <c r="K13" s="96"/>
      <c r="L13" s="97"/>
      <c r="M13" s="96"/>
      <c r="N13" s="97"/>
      <c r="O13" s="3"/>
      <c r="P13" s="3"/>
      <c r="Q13" s="3"/>
    </row>
    <row r="14" spans="1:69" ht="30">
      <c r="A14" s="46" t="s">
        <v>34</v>
      </c>
      <c r="B14" s="26" t="s">
        <v>35</v>
      </c>
      <c r="C14" s="27" t="s">
        <v>36</v>
      </c>
      <c r="D14" s="28" t="s">
        <v>37</v>
      </c>
      <c r="E14" s="27" t="s">
        <v>38</v>
      </c>
      <c r="F14" s="28" t="s">
        <v>39</v>
      </c>
      <c r="G14" s="27" t="s">
        <v>40</v>
      </c>
      <c r="H14" s="28" t="s">
        <v>41</v>
      </c>
      <c r="I14" s="27" t="s">
        <v>42</v>
      </c>
      <c r="J14" s="28" t="s">
        <v>43</v>
      </c>
      <c r="K14" s="27" t="s">
        <v>44</v>
      </c>
      <c r="L14" s="28" t="s">
        <v>45</v>
      </c>
      <c r="M14" s="27" t="s">
        <v>46</v>
      </c>
      <c r="N14" s="28" t="s">
        <v>47</v>
      </c>
      <c r="O14" s="27" t="s">
        <v>48</v>
      </c>
      <c r="P14" s="28" t="s">
        <v>49</v>
      </c>
      <c r="Q14" s="27" t="s">
        <v>50</v>
      </c>
      <c r="R14" s="28" t="s">
        <v>51</v>
      </c>
      <c r="S14" s="27" t="s">
        <v>52</v>
      </c>
      <c r="T14" s="28" t="s">
        <v>53</v>
      </c>
      <c r="U14" s="27" t="s">
        <v>54</v>
      </c>
      <c r="V14" s="28" t="s">
        <v>55</v>
      </c>
      <c r="W14" s="27" t="s">
        <v>56</v>
      </c>
      <c r="X14" s="28" t="s">
        <v>57</v>
      </c>
      <c r="Y14" s="27" t="s">
        <v>58</v>
      </c>
      <c r="Z14" s="28" t="s">
        <v>59</v>
      </c>
      <c r="AA14" s="27" t="s">
        <v>60</v>
      </c>
      <c r="AB14" s="28" t="s">
        <v>61</v>
      </c>
      <c r="AC14" s="27" t="s">
        <v>62</v>
      </c>
      <c r="AD14" s="28" t="s">
        <v>63</v>
      </c>
      <c r="AE14" s="27" t="s">
        <v>64</v>
      </c>
      <c r="AF14" s="28" t="s">
        <v>65</v>
      </c>
      <c r="AG14" s="27" t="s">
        <v>66</v>
      </c>
      <c r="AH14" s="28" t="s">
        <v>67</v>
      </c>
      <c r="AI14" s="27" t="s">
        <v>68</v>
      </c>
      <c r="AJ14" s="28" t="s">
        <v>69</v>
      </c>
      <c r="AK14" s="27" t="s">
        <v>70</v>
      </c>
      <c r="AL14" s="28" t="s">
        <v>71</v>
      </c>
      <c r="AM14" s="27" t="s">
        <v>72</v>
      </c>
      <c r="AN14" s="28" t="s">
        <v>73</v>
      </c>
      <c r="AO14" s="27" t="s">
        <v>74</v>
      </c>
      <c r="AP14" s="28" t="s">
        <v>75</v>
      </c>
      <c r="AQ14" s="27" t="s">
        <v>76</v>
      </c>
      <c r="AR14" s="28" t="s">
        <v>77</v>
      </c>
      <c r="AS14" s="27" t="s">
        <v>78</v>
      </c>
      <c r="AT14" s="28" t="s">
        <v>79</v>
      </c>
      <c r="AU14" s="27" t="s">
        <v>80</v>
      </c>
      <c r="AV14" s="28" t="s">
        <v>81</v>
      </c>
      <c r="AW14" s="27" t="s">
        <v>82</v>
      </c>
      <c r="AX14" s="28" t="s">
        <v>83</v>
      </c>
      <c r="AY14" s="27" t="s">
        <v>84</v>
      </c>
      <c r="AZ14" s="28" t="s">
        <v>85</v>
      </c>
      <c r="BA14" s="27" t="s">
        <v>86</v>
      </c>
      <c r="BB14" s="28" t="s">
        <v>87</v>
      </c>
      <c r="BC14" s="27" t="s">
        <v>88</v>
      </c>
      <c r="BD14" s="28" t="s">
        <v>89</v>
      </c>
      <c r="BE14" s="27" t="s">
        <v>90</v>
      </c>
      <c r="BF14" s="28" t="s">
        <v>91</v>
      </c>
      <c r="BG14" s="27" t="s">
        <v>92</v>
      </c>
      <c r="BH14" s="28" t="s">
        <v>93</v>
      </c>
      <c r="BI14" s="27" t="s">
        <v>94</v>
      </c>
      <c r="BJ14" s="28" t="s">
        <v>95</v>
      </c>
      <c r="BK14" s="27" t="s">
        <v>96</v>
      </c>
      <c r="BL14" s="28" t="s">
        <v>97</v>
      </c>
      <c r="BM14" s="27" t="s">
        <v>98</v>
      </c>
      <c r="BN14" s="28" t="s">
        <v>99</v>
      </c>
      <c r="BO14" s="24" t="s">
        <v>100</v>
      </c>
      <c r="BP14" s="24" t="s">
        <v>101</v>
      </c>
      <c r="BQ14" s="24" t="s">
        <v>102</v>
      </c>
    </row>
    <row r="15" spans="1:69" ht="13.5" customHeight="1">
      <c r="A15" s="63">
        <v>1000</v>
      </c>
      <c r="B15" s="62">
        <f>$C$8</f>
        <v>0</v>
      </c>
      <c r="C15" s="81"/>
      <c r="D15" s="67"/>
      <c r="E15" s="81"/>
      <c r="F15" s="67"/>
      <c r="G15" s="67"/>
      <c r="H15" s="67"/>
      <c r="I15" s="67"/>
      <c r="J15" s="67"/>
      <c r="K15" s="67"/>
      <c r="L15" s="67"/>
      <c r="M15" s="67"/>
      <c r="N15" s="67"/>
      <c r="BO15" s="25">
        <f t="shared" ref="BO15" si="0">MIN(C15:BN15)</f>
        <v>0</v>
      </c>
      <c r="BP15" s="25" t="e">
        <f t="shared" ref="BP15" si="1">AVERAGE(C15:BN15)</f>
        <v>#DIV/0!</v>
      </c>
      <c r="BQ15" s="25">
        <f t="shared" ref="BQ15" si="2">MAX(C15:BN15)</f>
        <v>0</v>
      </c>
    </row>
    <row r="16" spans="1:69" ht="13.5" customHeight="1">
      <c r="A16" s="47">
        <v>2000</v>
      </c>
      <c r="B16" s="30">
        <v>1E-4</v>
      </c>
      <c r="BO16" s="25">
        <f t="shared" ref="BO16:BO40" si="3">MIN(C16:BN16)</f>
        <v>0</v>
      </c>
      <c r="BP16" s="25" t="e">
        <f t="shared" ref="BP16:BP40" si="4">AVERAGE(C16:BN16)</f>
        <v>#DIV/0!</v>
      </c>
      <c r="BQ16" s="25">
        <f t="shared" ref="BQ16:BQ40" si="5">MAX(C16:BN16)</f>
        <v>0</v>
      </c>
    </row>
    <row r="17" spans="1:69">
      <c r="A17" s="47">
        <v>1500</v>
      </c>
      <c r="B17" s="30">
        <v>2.0000000000000001E-4</v>
      </c>
      <c r="BO17" s="25">
        <f t="shared" si="3"/>
        <v>0</v>
      </c>
      <c r="BP17" s="25" t="e">
        <f t="shared" si="4"/>
        <v>#DIV/0!</v>
      </c>
      <c r="BQ17" s="25">
        <f t="shared" si="5"/>
        <v>0</v>
      </c>
    </row>
    <row r="18" spans="1:69">
      <c r="A18" s="47">
        <v>1000</v>
      </c>
      <c r="B18" s="30">
        <v>3.0000000000000003E-4</v>
      </c>
      <c r="BO18" s="25">
        <f t="shared" si="3"/>
        <v>0</v>
      </c>
      <c r="BP18" s="25" t="e">
        <f t="shared" si="4"/>
        <v>#DIV/0!</v>
      </c>
      <c r="BQ18" s="25">
        <f t="shared" si="5"/>
        <v>0</v>
      </c>
    </row>
    <row r="19" spans="1:69">
      <c r="A19" s="47">
        <v>1000</v>
      </c>
      <c r="B19" s="30">
        <v>5.0000000000000001E-4</v>
      </c>
      <c r="BO19" s="25">
        <f t="shared" si="3"/>
        <v>0</v>
      </c>
      <c r="BP19" s="25" t="e">
        <f t="shared" si="4"/>
        <v>#DIV/0!</v>
      </c>
      <c r="BQ19" s="25">
        <f t="shared" si="5"/>
        <v>0</v>
      </c>
    </row>
    <row r="20" spans="1:69">
      <c r="A20" s="47">
        <v>1000</v>
      </c>
      <c r="B20" s="30">
        <v>6.9999999999999999E-4</v>
      </c>
      <c r="BO20" s="25">
        <f t="shared" si="3"/>
        <v>0</v>
      </c>
      <c r="BP20" s="25" t="e">
        <f t="shared" si="4"/>
        <v>#DIV/0!</v>
      </c>
      <c r="BQ20" s="25">
        <f t="shared" si="5"/>
        <v>0</v>
      </c>
    </row>
    <row r="21" spans="1:69">
      <c r="A21" s="47">
        <v>1000</v>
      </c>
      <c r="B21" s="30">
        <f>B16*10</f>
        <v>1E-3</v>
      </c>
      <c r="BO21" s="25">
        <f t="shared" si="3"/>
        <v>0</v>
      </c>
      <c r="BP21" s="25" t="e">
        <f t="shared" si="4"/>
        <v>#DIV/0!</v>
      </c>
      <c r="BQ21" s="25">
        <f t="shared" si="5"/>
        <v>0</v>
      </c>
    </row>
    <row r="22" spans="1:69" ht="13.5" customHeight="1">
      <c r="A22" s="47">
        <v>500</v>
      </c>
      <c r="B22" s="30">
        <f t="shared" ref="B22:B39" si="6">B17*10</f>
        <v>2E-3</v>
      </c>
      <c r="BO22" s="25">
        <f t="shared" si="3"/>
        <v>0</v>
      </c>
      <c r="BP22" s="25" t="e">
        <f t="shared" si="4"/>
        <v>#DIV/0!</v>
      </c>
      <c r="BQ22" s="25">
        <f t="shared" si="5"/>
        <v>0</v>
      </c>
    </row>
    <row r="23" spans="1:69" ht="12.75" customHeight="1">
      <c r="A23" s="47">
        <v>300</v>
      </c>
      <c r="B23" s="30">
        <f t="shared" si="6"/>
        <v>3.0000000000000001E-3</v>
      </c>
      <c r="BO23" s="25">
        <f t="shared" si="3"/>
        <v>0</v>
      </c>
      <c r="BP23" s="25" t="e">
        <f t="shared" si="4"/>
        <v>#DIV/0!</v>
      </c>
      <c r="BQ23" s="25">
        <f t="shared" si="5"/>
        <v>0</v>
      </c>
    </row>
    <row r="24" spans="1:69" ht="13.5" customHeight="1">
      <c r="A24" s="47">
        <v>300</v>
      </c>
      <c r="B24" s="30">
        <f t="shared" si="6"/>
        <v>5.0000000000000001E-3</v>
      </c>
      <c r="BO24" s="25">
        <f t="shared" si="3"/>
        <v>0</v>
      </c>
      <c r="BP24" s="25" t="e">
        <f t="shared" si="4"/>
        <v>#DIV/0!</v>
      </c>
      <c r="BQ24" s="25">
        <f t="shared" si="5"/>
        <v>0</v>
      </c>
    </row>
    <row r="25" spans="1:69">
      <c r="A25" s="47">
        <v>300</v>
      </c>
      <c r="B25" s="30">
        <f t="shared" si="6"/>
        <v>7.0000000000000001E-3</v>
      </c>
      <c r="BO25" s="25">
        <f t="shared" si="3"/>
        <v>0</v>
      </c>
      <c r="BP25" s="25" t="e">
        <f t="shared" si="4"/>
        <v>#DIV/0!</v>
      </c>
      <c r="BQ25" s="25">
        <f t="shared" si="5"/>
        <v>0</v>
      </c>
    </row>
    <row r="26" spans="1:69">
      <c r="A26" s="47">
        <v>200</v>
      </c>
      <c r="B26" s="30">
        <f t="shared" si="6"/>
        <v>0.01</v>
      </c>
      <c r="BO26" s="25">
        <f t="shared" si="3"/>
        <v>0</v>
      </c>
      <c r="BP26" s="25" t="e">
        <f t="shared" si="4"/>
        <v>#DIV/0!</v>
      </c>
      <c r="BQ26" s="25">
        <f t="shared" si="5"/>
        <v>0</v>
      </c>
    </row>
    <row r="27" spans="1:69">
      <c r="A27" s="47">
        <v>200</v>
      </c>
      <c r="B27" s="30">
        <f t="shared" si="6"/>
        <v>0.02</v>
      </c>
      <c r="BO27" s="25">
        <f t="shared" si="3"/>
        <v>0</v>
      </c>
      <c r="BP27" s="25" t="e">
        <f t="shared" si="4"/>
        <v>#DIV/0!</v>
      </c>
      <c r="BQ27" s="25">
        <f t="shared" si="5"/>
        <v>0</v>
      </c>
    </row>
    <row r="28" spans="1:69">
      <c r="A28" s="47">
        <v>200</v>
      </c>
      <c r="B28" s="30">
        <f t="shared" si="6"/>
        <v>0.03</v>
      </c>
      <c r="BO28" s="25">
        <f t="shared" si="3"/>
        <v>0</v>
      </c>
      <c r="BP28" s="25" t="e">
        <f t="shared" si="4"/>
        <v>#DIV/0!</v>
      </c>
      <c r="BQ28" s="25">
        <f t="shared" si="5"/>
        <v>0</v>
      </c>
    </row>
    <row r="29" spans="1:69">
      <c r="A29" s="47">
        <v>200</v>
      </c>
      <c r="B29" s="30">
        <f t="shared" si="6"/>
        <v>0.05</v>
      </c>
      <c r="BO29" s="25">
        <f t="shared" si="3"/>
        <v>0</v>
      </c>
      <c r="BP29" s="25" t="e">
        <f t="shared" si="4"/>
        <v>#DIV/0!</v>
      </c>
      <c r="BQ29" s="25">
        <f t="shared" si="5"/>
        <v>0</v>
      </c>
    </row>
    <row r="30" spans="1:69">
      <c r="A30" s="47">
        <v>200</v>
      </c>
      <c r="B30" s="30">
        <f t="shared" si="6"/>
        <v>7.0000000000000007E-2</v>
      </c>
      <c r="BO30" s="25">
        <f t="shared" si="3"/>
        <v>0</v>
      </c>
      <c r="BP30" s="25" t="e">
        <f t="shared" si="4"/>
        <v>#DIV/0!</v>
      </c>
      <c r="BQ30" s="25">
        <f t="shared" si="5"/>
        <v>0</v>
      </c>
    </row>
    <row r="31" spans="1:69">
      <c r="A31" s="47">
        <v>200</v>
      </c>
      <c r="B31" s="30">
        <f t="shared" si="6"/>
        <v>0.1</v>
      </c>
      <c r="BO31" s="25">
        <f t="shared" si="3"/>
        <v>0</v>
      </c>
      <c r="BP31" s="25" t="e">
        <f t="shared" si="4"/>
        <v>#DIV/0!</v>
      </c>
      <c r="BQ31" s="25">
        <f t="shared" si="5"/>
        <v>0</v>
      </c>
    </row>
    <row r="32" spans="1:69">
      <c r="A32" s="47">
        <v>200</v>
      </c>
      <c r="B32" s="30">
        <f t="shared" si="6"/>
        <v>0.2</v>
      </c>
      <c r="BO32" s="25">
        <f t="shared" si="3"/>
        <v>0</v>
      </c>
      <c r="BP32" s="25" t="e">
        <f t="shared" si="4"/>
        <v>#DIV/0!</v>
      </c>
      <c r="BQ32" s="25">
        <f t="shared" si="5"/>
        <v>0</v>
      </c>
    </row>
    <row r="33" spans="1:69">
      <c r="A33" s="47">
        <v>200</v>
      </c>
      <c r="B33" s="30">
        <f t="shared" si="6"/>
        <v>0.3</v>
      </c>
      <c r="BO33" s="25">
        <f t="shared" si="3"/>
        <v>0</v>
      </c>
      <c r="BP33" s="25" t="e">
        <f t="shared" si="4"/>
        <v>#DIV/0!</v>
      </c>
      <c r="BQ33" s="25">
        <f t="shared" si="5"/>
        <v>0</v>
      </c>
    </row>
    <row r="34" spans="1:69">
      <c r="A34" s="47">
        <v>200</v>
      </c>
      <c r="B34" s="30">
        <f t="shared" si="6"/>
        <v>0.5</v>
      </c>
      <c r="BO34" s="25">
        <f t="shared" si="3"/>
        <v>0</v>
      </c>
      <c r="BP34" s="25" t="e">
        <f t="shared" si="4"/>
        <v>#DIV/0!</v>
      </c>
      <c r="BQ34" s="25">
        <f t="shared" si="5"/>
        <v>0</v>
      </c>
    </row>
    <row r="35" spans="1:69">
      <c r="A35" s="47">
        <v>200</v>
      </c>
      <c r="B35" s="30">
        <f t="shared" si="6"/>
        <v>0.70000000000000007</v>
      </c>
      <c r="BO35" s="25">
        <f t="shared" si="3"/>
        <v>0</v>
      </c>
      <c r="BP35" s="25" t="e">
        <f t="shared" si="4"/>
        <v>#DIV/0!</v>
      </c>
      <c r="BQ35" s="25">
        <f t="shared" si="5"/>
        <v>0</v>
      </c>
    </row>
    <row r="36" spans="1:69" s="43" customFormat="1">
      <c r="A36" s="48">
        <v>100</v>
      </c>
      <c r="B36" s="41">
        <f t="shared" si="6"/>
        <v>1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 s="42">
        <f t="shared" si="3"/>
        <v>0</v>
      </c>
      <c r="BP36" s="42" t="e">
        <f t="shared" si="4"/>
        <v>#DIV/0!</v>
      </c>
      <c r="BQ36" s="42">
        <f t="shared" si="5"/>
        <v>0</v>
      </c>
    </row>
    <row r="37" spans="1:69">
      <c r="A37" s="47">
        <v>100</v>
      </c>
      <c r="B37" s="30">
        <f t="shared" si="6"/>
        <v>2</v>
      </c>
      <c r="BO37" s="25">
        <f t="shared" si="3"/>
        <v>0</v>
      </c>
      <c r="BP37" s="25" t="e">
        <f t="shared" si="4"/>
        <v>#DIV/0!</v>
      </c>
      <c r="BQ37" s="25">
        <f t="shared" si="5"/>
        <v>0</v>
      </c>
    </row>
    <row r="38" spans="1:69">
      <c r="A38" s="47">
        <v>100</v>
      </c>
      <c r="B38" s="30">
        <f t="shared" si="6"/>
        <v>3</v>
      </c>
      <c r="BO38" s="25">
        <f t="shared" si="3"/>
        <v>0</v>
      </c>
      <c r="BP38" s="25" t="e">
        <f t="shared" si="4"/>
        <v>#DIV/0!</v>
      </c>
      <c r="BQ38" s="25">
        <f t="shared" si="5"/>
        <v>0</v>
      </c>
    </row>
    <row r="39" spans="1:69">
      <c r="A39" s="47">
        <v>100</v>
      </c>
      <c r="B39" s="30">
        <f t="shared" si="6"/>
        <v>5</v>
      </c>
      <c r="BO39" s="25">
        <f t="shared" si="3"/>
        <v>0</v>
      </c>
      <c r="BP39" s="25" t="e">
        <f t="shared" si="4"/>
        <v>#DIV/0!</v>
      </c>
      <c r="BQ39" s="25">
        <f t="shared" si="5"/>
        <v>0</v>
      </c>
    </row>
    <row r="40" spans="1:69">
      <c r="A40" s="47">
        <v>100</v>
      </c>
      <c r="B40" s="30">
        <v>7</v>
      </c>
      <c r="BO40" s="25">
        <f t="shared" si="3"/>
        <v>0</v>
      </c>
      <c r="BP40" s="25" t="e">
        <f t="shared" si="4"/>
        <v>#DIV/0!</v>
      </c>
      <c r="BQ40" s="25">
        <f t="shared" si="5"/>
        <v>0</v>
      </c>
    </row>
    <row r="41" spans="1:69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69" ht="30">
      <c r="A42" s="46" t="s">
        <v>34</v>
      </c>
      <c r="B42" s="26" t="s">
        <v>103</v>
      </c>
      <c r="C42" s="49" t="str">
        <f>C14</f>
        <v>Part 1 Fwd</v>
      </c>
      <c r="D42" s="29" t="str">
        <f>D14</f>
        <v>Part 1 Rev</v>
      </c>
      <c r="E42" s="49" t="str">
        <f>E14</f>
        <v>Part 2 Fwd</v>
      </c>
      <c r="F42" s="29" t="str">
        <f>F14</f>
        <v>Part 2 Rev</v>
      </c>
      <c r="G42" s="49" t="str">
        <f>G14</f>
        <v>Part 3 Fwd</v>
      </c>
      <c r="H42" s="29" t="str">
        <f>H14</f>
        <v>Part 3 Rev</v>
      </c>
      <c r="I42" s="49" t="str">
        <f>I14</f>
        <v>Part 4 Fwd</v>
      </c>
      <c r="J42" s="29" t="str">
        <f>J14</f>
        <v>Part 4 Rev</v>
      </c>
      <c r="K42" s="49" t="str">
        <f>K14</f>
        <v>Part 5 Fwd</v>
      </c>
      <c r="L42" s="29" t="str">
        <f>L14</f>
        <v>Part 5 Rev</v>
      </c>
      <c r="M42" s="49" t="str">
        <f>M14</f>
        <v>Part 6 Fwd</v>
      </c>
      <c r="N42" s="29" t="str">
        <f>N14</f>
        <v>Part 6 Rev</v>
      </c>
      <c r="O42" s="49" t="str">
        <f>O14</f>
        <v>Part 7 Fwd</v>
      </c>
      <c r="P42" s="29" t="str">
        <f>P14</f>
        <v>Part 7 Rev</v>
      </c>
      <c r="Q42" s="49" t="str">
        <f>Q14</f>
        <v>Part 8 Fwd</v>
      </c>
      <c r="R42" s="29" t="str">
        <f>R14</f>
        <v>Part 8 Rev</v>
      </c>
      <c r="S42" s="49" t="str">
        <f>S14</f>
        <v>Part 9 Fwd</v>
      </c>
      <c r="T42" s="29" t="str">
        <f>T14</f>
        <v>Part 9 Rev</v>
      </c>
      <c r="U42" s="49" t="str">
        <f>U14</f>
        <v>Part 10 Fwd</v>
      </c>
      <c r="V42" s="29" t="str">
        <f>V14</f>
        <v>Part 10 Rev</v>
      </c>
      <c r="W42" s="49" t="str">
        <f>W14</f>
        <v>Part 11 Fwd</v>
      </c>
      <c r="X42" s="29" t="str">
        <f>X14</f>
        <v>Part 11 Rev</v>
      </c>
      <c r="Y42" s="49" t="str">
        <f>Y14</f>
        <v>Part 12 Fwd</v>
      </c>
      <c r="Z42" s="29" t="str">
        <f>Z14</f>
        <v>Part 12 Rev</v>
      </c>
      <c r="AA42" s="49" t="str">
        <f>AA14</f>
        <v>Part 13 Fwd</v>
      </c>
      <c r="AB42" s="29" t="str">
        <f>AB14</f>
        <v>Part 13 Rev</v>
      </c>
      <c r="AC42" s="49" t="str">
        <f>AC14</f>
        <v>Part 14 Fwd</v>
      </c>
      <c r="AD42" s="29" t="str">
        <f>AD14</f>
        <v>Part 14 Rev</v>
      </c>
      <c r="AE42" s="49" t="str">
        <f>AE14</f>
        <v>Part 15 Fwd</v>
      </c>
      <c r="AF42" s="29" t="str">
        <f>AF14</f>
        <v>Part 15 Rev</v>
      </c>
      <c r="AG42" s="49" t="str">
        <f>AG14</f>
        <v>Part 16 Fwd</v>
      </c>
      <c r="AH42" s="29" t="str">
        <f>AH14</f>
        <v>Part 16 Rev</v>
      </c>
      <c r="AI42" s="49" t="str">
        <f>AI14</f>
        <v>Part 17 Fwd</v>
      </c>
      <c r="AJ42" s="29" t="str">
        <f>AJ14</f>
        <v>Part 17 Rev</v>
      </c>
      <c r="AK42" s="49" t="str">
        <f>AK14</f>
        <v>Part 18 Fwd</v>
      </c>
      <c r="AL42" s="29" t="str">
        <f>AL14</f>
        <v>Part 18 Rev</v>
      </c>
      <c r="AM42" s="49" t="str">
        <f>AM14</f>
        <v>Part 19 Fwd</v>
      </c>
      <c r="AN42" s="29" t="str">
        <f>AN14</f>
        <v>Part 19 Rev</v>
      </c>
      <c r="AO42" s="49" t="str">
        <f>AO14</f>
        <v>Part 20 Fwd</v>
      </c>
      <c r="AP42" s="29" t="str">
        <f>AP14</f>
        <v>Part 20 Rev</v>
      </c>
      <c r="AQ42" s="49" t="str">
        <f>AQ14</f>
        <v>Part 21 Fwd</v>
      </c>
      <c r="AR42" s="29" t="str">
        <f>AR14</f>
        <v>Part 21 Rev</v>
      </c>
      <c r="AS42" s="49" t="str">
        <f>AS14</f>
        <v>Part 22 Fwd</v>
      </c>
      <c r="AT42" s="29" t="str">
        <f>AT14</f>
        <v>Part 22 Rev</v>
      </c>
      <c r="AU42" s="49" t="str">
        <f>AU14</f>
        <v>Part 23 Fwd</v>
      </c>
      <c r="AV42" s="29" t="str">
        <f>AV14</f>
        <v>Part 23 Rev</v>
      </c>
      <c r="AW42" s="49" t="str">
        <f>AW14</f>
        <v>Part 24 Fwd</v>
      </c>
      <c r="AX42" s="29" t="str">
        <f>AX14</f>
        <v>Part 24 Rev</v>
      </c>
      <c r="AY42" s="49" t="str">
        <f>AY14</f>
        <v>Part 25 Fwd</v>
      </c>
      <c r="AZ42" s="29" t="str">
        <f>AZ14</f>
        <v>Part 25 Rev</v>
      </c>
      <c r="BA42" s="49" t="str">
        <f>BA14</f>
        <v>Part 26 Fwd</v>
      </c>
      <c r="BB42" s="29" t="str">
        <f>BB14</f>
        <v>Part 26 Rev</v>
      </c>
      <c r="BC42" s="49" t="str">
        <f>BC14</f>
        <v>Part 27 Fwd</v>
      </c>
      <c r="BD42" s="29" t="str">
        <f>BD14</f>
        <v>Part 27 Rev</v>
      </c>
      <c r="BE42" s="49" t="str">
        <f>BE14</f>
        <v>Part 28 Fwd</v>
      </c>
      <c r="BF42" s="29" t="str">
        <f>BF14</f>
        <v>Part 28 Rev</v>
      </c>
      <c r="BG42" s="49" t="str">
        <f>BG14</f>
        <v>Part 29 Fwd</v>
      </c>
      <c r="BH42" s="29" t="str">
        <f>BH14</f>
        <v>Part 29 Rev</v>
      </c>
      <c r="BI42" s="49" t="str">
        <f>BI14</f>
        <v>Part 30 Fwd</v>
      </c>
      <c r="BJ42" s="29" t="str">
        <f>BJ14</f>
        <v>Part 30 Rev</v>
      </c>
      <c r="BK42" s="49" t="str">
        <f>BK14</f>
        <v>Part 31 Fwd</v>
      </c>
      <c r="BL42" s="29" t="str">
        <f>BL14</f>
        <v>Part 31 Rev</v>
      </c>
      <c r="BM42" s="49" t="str">
        <f>BM14</f>
        <v>Part 32 Fwd</v>
      </c>
      <c r="BN42" s="29" t="str">
        <f>BN14</f>
        <v>Part 32 Rev</v>
      </c>
      <c r="BO42" s="24" t="s">
        <v>100</v>
      </c>
      <c r="BP42" s="24" t="s">
        <v>101</v>
      </c>
      <c r="BQ42" s="24" t="s">
        <v>102</v>
      </c>
    </row>
    <row r="43" spans="1:69" ht="13.5" customHeight="1">
      <c r="A43" s="63">
        <v>1000</v>
      </c>
      <c r="B43" s="62">
        <f>$C$8</f>
        <v>0</v>
      </c>
      <c r="C43" s="82"/>
      <c r="D43" s="66"/>
      <c r="E43" s="81"/>
      <c r="F43" s="66"/>
      <c r="G43" s="67"/>
      <c r="H43" s="66"/>
      <c r="I43" s="67"/>
      <c r="J43" s="66"/>
      <c r="K43" s="67"/>
      <c r="L43" s="66"/>
      <c r="M43" s="67"/>
      <c r="N43" s="66"/>
      <c r="O43" s="67"/>
      <c r="P43" s="66"/>
      <c r="Q43" s="67"/>
      <c r="R43" s="66"/>
      <c r="S43" s="67"/>
      <c r="T43" s="66"/>
      <c r="U43" s="67"/>
      <c r="V43" s="66"/>
      <c r="W43" s="67"/>
      <c r="X43" s="66"/>
      <c r="Y43" s="67"/>
      <c r="Z43" s="66"/>
      <c r="AA43" s="67"/>
      <c r="AB43" s="66"/>
      <c r="AC43" s="67"/>
      <c r="AD43" s="66"/>
      <c r="AE43" s="67"/>
      <c r="AF43" s="66"/>
      <c r="AG43" s="67"/>
      <c r="AH43" s="66"/>
      <c r="AI43" s="67"/>
      <c r="AJ43" s="66"/>
      <c r="AK43" s="67"/>
      <c r="AL43" s="66"/>
      <c r="AM43" s="67"/>
      <c r="AN43" s="66"/>
      <c r="AO43" s="67"/>
      <c r="AP43" s="66"/>
      <c r="AQ43" s="67"/>
      <c r="AR43" s="66"/>
      <c r="AS43" s="67"/>
      <c r="AT43" s="66"/>
      <c r="AU43" s="67"/>
      <c r="AV43" s="66"/>
      <c r="AW43" s="67"/>
      <c r="AX43" s="66"/>
      <c r="AY43" s="67"/>
      <c r="AZ43" s="66"/>
      <c r="BA43" s="67"/>
      <c r="BB43" s="66"/>
      <c r="BC43" s="67"/>
      <c r="BD43" s="66"/>
      <c r="BE43" s="67"/>
      <c r="BF43" s="66"/>
      <c r="BG43" s="67"/>
      <c r="BH43" s="66"/>
      <c r="BI43" s="67"/>
      <c r="BJ43" s="66"/>
      <c r="BK43" s="67"/>
      <c r="BL43" s="66"/>
      <c r="BM43" s="67"/>
      <c r="BN43" s="68"/>
      <c r="BO43" s="25">
        <f t="shared" ref="BO43" si="7">MIN(C43:BN43)</f>
        <v>0</v>
      </c>
      <c r="BP43" s="25" t="e">
        <f t="shared" ref="BP43" si="8">AVERAGE(C43:BN43)</f>
        <v>#DIV/0!</v>
      </c>
      <c r="BQ43" s="25">
        <f t="shared" ref="BQ43" si="9">MAX(C43:BN43)</f>
        <v>0</v>
      </c>
    </row>
    <row r="44" spans="1:69">
      <c r="A44" s="47">
        <f>A16</f>
        <v>2000</v>
      </c>
      <c r="B44" s="30">
        <v>1E-4</v>
      </c>
      <c r="C44" s="19"/>
      <c r="D44" s="20"/>
      <c r="E44" s="5"/>
      <c r="F44" s="20"/>
      <c r="G44" s="5"/>
      <c r="H44" s="20"/>
      <c r="I44" s="5"/>
      <c r="J44" s="20"/>
      <c r="K44" s="5"/>
      <c r="L44" s="20"/>
      <c r="M44" s="5"/>
      <c r="N44" s="20"/>
      <c r="O44" s="5"/>
      <c r="P44" s="20"/>
      <c r="Q44" s="5"/>
      <c r="R44" s="20"/>
      <c r="S44" s="5"/>
      <c r="T44" s="20"/>
      <c r="U44" s="5"/>
      <c r="V44" s="20"/>
      <c r="W44" s="5"/>
      <c r="X44" s="20"/>
      <c r="Y44" s="5"/>
      <c r="Z44" s="20"/>
      <c r="AA44" s="5"/>
      <c r="AB44" s="20"/>
      <c r="AC44" s="5"/>
      <c r="AD44" s="20"/>
      <c r="AE44" s="5"/>
      <c r="AF44" s="20"/>
      <c r="AG44" s="5"/>
      <c r="AH44" s="20"/>
      <c r="AI44" s="5"/>
      <c r="AJ44" s="20"/>
      <c r="AK44" s="5"/>
      <c r="AL44" s="20"/>
      <c r="AM44" s="5"/>
      <c r="AN44" s="20"/>
      <c r="AO44" s="5"/>
      <c r="AP44" s="20"/>
      <c r="AQ44" s="5"/>
      <c r="AR44" s="20"/>
      <c r="AS44" s="5"/>
      <c r="AT44" s="20"/>
      <c r="AU44" s="5"/>
      <c r="AV44" s="20"/>
      <c r="AW44" s="5"/>
      <c r="AX44" s="20"/>
      <c r="AY44" s="5"/>
      <c r="AZ44" s="20"/>
      <c r="BA44" s="5"/>
      <c r="BB44" s="20"/>
      <c r="BC44" s="5"/>
      <c r="BD44" s="20"/>
      <c r="BE44" s="5"/>
      <c r="BF44" s="20"/>
      <c r="BG44" s="5"/>
      <c r="BH44" s="20"/>
      <c r="BI44" s="5"/>
      <c r="BJ44" s="20"/>
      <c r="BK44" s="5"/>
      <c r="BL44" s="20"/>
      <c r="BM44" s="5"/>
      <c r="BN44" s="21"/>
      <c r="BO44" s="25">
        <f t="shared" ref="BO44:BO68" si="10">MIN(C44:BN44)</f>
        <v>0</v>
      </c>
      <c r="BP44" s="25" t="e">
        <f t="shared" ref="BP44:BP68" si="11">AVERAGE(C44:BN44)</f>
        <v>#DIV/0!</v>
      </c>
      <c r="BQ44" s="25">
        <f t="shared" ref="BQ44:BQ68" si="12">MAX(C44:BN44)</f>
        <v>0</v>
      </c>
    </row>
    <row r="45" spans="1:69">
      <c r="A45" s="47">
        <f>A17</f>
        <v>1500</v>
      </c>
      <c r="B45" s="30">
        <v>2.0000000000000001E-4</v>
      </c>
      <c r="C45" s="19"/>
      <c r="D45" s="20"/>
      <c r="E45" s="5"/>
      <c r="F45" s="20"/>
      <c r="G45" s="5"/>
      <c r="H45" s="20"/>
      <c r="I45" s="5"/>
      <c r="J45" s="20"/>
      <c r="K45" s="5"/>
      <c r="L45" s="20"/>
      <c r="M45" s="5"/>
      <c r="N45" s="20"/>
      <c r="O45" s="5"/>
      <c r="P45" s="20"/>
      <c r="Q45" s="5"/>
      <c r="R45" s="20"/>
      <c r="S45" s="5"/>
      <c r="T45" s="20"/>
      <c r="U45" s="5"/>
      <c r="V45" s="20"/>
      <c r="W45" s="5"/>
      <c r="X45" s="20"/>
      <c r="Y45" s="5"/>
      <c r="Z45" s="20"/>
      <c r="AA45" s="5"/>
      <c r="AB45" s="20"/>
      <c r="AC45" s="5"/>
      <c r="AD45" s="20"/>
      <c r="AE45" s="5"/>
      <c r="AF45" s="20"/>
      <c r="AG45" s="5"/>
      <c r="AH45" s="20"/>
      <c r="AI45" s="5"/>
      <c r="AJ45" s="20"/>
      <c r="AK45" s="5"/>
      <c r="AL45" s="20"/>
      <c r="AM45" s="5"/>
      <c r="AN45" s="20"/>
      <c r="AO45" s="5"/>
      <c r="AP45" s="20"/>
      <c r="AQ45" s="5"/>
      <c r="AR45" s="20"/>
      <c r="AS45" s="5"/>
      <c r="AT45" s="20"/>
      <c r="AU45" s="5"/>
      <c r="AV45" s="20"/>
      <c r="AW45" s="5"/>
      <c r="AX45" s="20"/>
      <c r="AY45" s="5"/>
      <c r="AZ45" s="20"/>
      <c r="BA45" s="5"/>
      <c r="BB45" s="20"/>
      <c r="BC45" s="5"/>
      <c r="BD45" s="20"/>
      <c r="BE45" s="5"/>
      <c r="BF45" s="20"/>
      <c r="BG45" s="5"/>
      <c r="BH45" s="20"/>
      <c r="BI45" s="5"/>
      <c r="BJ45" s="20"/>
      <c r="BK45" s="5"/>
      <c r="BL45" s="20"/>
      <c r="BM45" s="5"/>
      <c r="BN45" s="21"/>
      <c r="BO45" s="25">
        <f t="shared" si="10"/>
        <v>0</v>
      </c>
      <c r="BP45" s="25" t="e">
        <f t="shared" si="11"/>
        <v>#DIV/0!</v>
      </c>
      <c r="BQ45" s="25">
        <f t="shared" si="12"/>
        <v>0</v>
      </c>
    </row>
    <row r="46" spans="1:69">
      <c r="A46" s="47">
        <f>A18</f>
        <v>1000</v>
      </c>
      <c r="B46" s="30">
        <v>3.0000000000000003E-4</v>
      </c>
      <c r="C46" s="19"/>
      <c r="D46" s="20"/>
      <c r="E46" s="5"/>
      <c r="F46" s="20"/>
      <c r="G46" s="5"/>
      <c r="H46" s="20"/>
      <c r="I46" s="5"/>
      <c r="J46" s="20"/>
      <c r="K46" s="5"/>
      <c r="L46" s="20"/>
      <c r="M46" s="5"/>
      <c r="N46" s="20"/>
      <c r="O46" s="5"/>
      <c r="P46" s="20"/>
      <c r="Q46" s="5"/>
      <c r="R46" s="20"/>
      <c r="S46" s="5"/>
      <c r="T46" s="20"/>
      <c r="U46" s="5"/>
      <c r="V46" s="20"/>
      <c r="W46" s="5"/>
      <c r="X46" s="20"/>
      <c r="Y46" s="5"/>
      <c r="Z46" s="20"/>
      <c r="AA46" s="5"/>
      <c r="AB46" s="20"/>
      <c r="AC46" s="5"/>
      <c r="AD46" s="20"/>
      <c r="AE46" s="5"/>
      <c r="AF46" s="20"/>
      <c r="AG46" s="5"/>
      <c r="AH46" s="20"/>
      <c r="AI46" s="5"/>
      <c r="AJ46" s="20"/>
      <c r="AK46" s="5"/>
      <c r="AL46" s="20"/>
      <c r="AM46" s="5"/>
      <c r="AN46" s="20"/>
      <c r="AO46" s="5"/>
      <c r="AP46" s="20"/>
      <c r="AQ46" s="5"/>
      <c r="AR46" s="20"/>
      <c r="AS46" s="5"/>
      <c r="AT46" s="20"/>
      <c r="AU46" s="5"/>
      <c r="AV46" s="20"/>
      <c r="AW46" s="5"/>
      <c r="AX46" s="20"/>
      <c r="AY46" s="5"/>
      <c r="AZ46" s="20"/>
      <c r="BA46" s="5"/>
      <c r="BB46" s="20"/>
      <c r="BC46" s="5"/>
      <c r="BD46" s="20"/>
      <c r="BE46" s="5"/>
      <c r="BF46" s="20"/>
      <c r="BG46" s="5"/>
      <c r="BH46" s="20"/>
      <c r="BI46" s="5"/>
      <c r="BJ46" s="20"/>
      <c r="BK46" s="5"/>
      <c r="BL46" s="20"/>
      <c r="BM46" s="5"/>
      <c r="BN46" s="21"/>
      <c r="BO46" s="25">
        <f t="shared" si="10"/>
        <v>0</v>
      </c>
      <c r="BP46" s="25" t="e">
        <f t="shared" si="11"/>
        <v>#DIV/0!</v>
      </c>
      <c r="BQ46" s="25">
        <f t="shared" si="12"/>
        <v>0</v>
      </c>
    </row>
    <row r="47" spans="1:69">
      <c r="A47" s="47">
        <f>A19</f>
        <v>1000</v>
      </c>
      <c r="B47" s="30">
        <v>5.0000000000000001E-4</v>
      </c>
      <c r="C47" s="19"/>
      <c r="D47" s="20"/>
      <c r="E47" s="5"/>
      <c r="F47" s="20"/>
      <c r="G47" s="5"/>
      <c r="H47" s="20"/>
      <c r="I47" s="5"/>
      <c r="J47" s="20"/>
      <c r="K47" s="5"/>
      <c r="L47" s="20"/>
      <c r="M47" s="5"/>
      <c r="N47" s="20"/>
      <c r="O47" s="5"/>
      <c r="P47" s="20"/>
      <c r="Q47" s="5"/>
      <c r="R47" s="20"/>
      <c r="S47" s="5"/>
      <c r="T47" s="20"/>
      <c r="U47" s="5"/>
      <c r="V47" s="20"/>
      <c r="W47" s="5"/>
      <c r="X47" s="20"/>
      <c r="Y47" s="5"/>
      <c r="Z47" s="20"/>
      <c r="AA47" s="5"/>
      <c r="AB47" s="20"/>
      <c r="AC47" s="5"/>
      <c r="AD47" s="20"/>
      <c r="AE47" s="5"/>
      <c r="AF47" s="20"/>
      <c r="AG47" s="5"/>
      <c r="AH47" s="20"/>
      <c r="AI47" s="5"/>
      <c r="AJ47" s="20"/>
      <c r="AK47" s="5"/>
      <c r="AL47" s="20"/>
      <c r="AM47" s="5"/>
      <c r="AN47" s="20"/>
      <c r="AO47" s="5"/>
      <c r="AP47" s="20"/>
      <c r="AQ47" s="5"/>
      <c r="AR47" s="20"/>
      <c r="AS47" s="5"/>
      <c r="AT47" s="20"/>
      <c r="AU47" s="5"/>
      <c r="AV47" s="20"/>
      <c r="AW47" s="5"/>
      <c r="AX47" s="20"/>
      <c r="AY47" s="5"/>
      <c r="AZ47" s="20"/>
      <c r="BA47" s="5"/>
      <c r="BB47" s="20"/>
      <c r="BC47" s="5"/>
      <c r="BD47" s="20"/>
      <c r="BE47" s="5"/>
      <c r="BF47" s="20"/>
      <c r="BG47" s="5"/>
      <c r="BH47" s="20"/>
      <c r="BI47" s="5"/>
      <c r="BJ47" s="20"/>
      <c r="BK47" s="5"/>
      <c r="BL47" s="20"/>
      <c r="BM47" s="5"/>
      <c r="BN47" s="21"/>
      <c r="BO47" s="25">
        <f t="shared" si="10"/>
        <v>0</v>
      </c>
      <c r="BP47" s="25" t="e">
        <f t="shared" si="11"/>
        <v>#DIV/0!</v>
      </c>
      <c r="BQ47" s="25">
        <f t="shared" si="12"/>
        <v>0</v>
      </c>
    </row>
    <row r="48" spans="1:69">
      <c r="A48" s="47">
        <f>A20</f>
        <v>1000</v>
      </c>
      <c r="B48" s="30">
        <v>6.9999999999999999E-4</v>
      </c>
      <c r="C48" s="5"/>
      <c r="D48" s="20"/>
      <c r="E48" s="5"/>
      <c r="F48" s="20"/>
      <c r="G48" s="5"/>
      <c r="H48" s="20"/>
      <c r="I48" s="5"/>
      <c r="J48" s="20"/>
      <c r="K48" s="5"/>
      <c r="L48" s="20"/>
      <c r="M48" s="5"/>
      <c r="N48" s="20"/>
      <c r="O48" s="5"/>
      <c r="P48" s="20"/>
      <c r="Q48" s="5"/>
      <c r="R48" s="20"/>
      <c r="S48" s="5"/>
      <c r="T48" s="20"/>
      <c r="U48" s="5"/>
      <c r="V48" s="20"/>
      <c r="W48" s="5"/>
      <c r="X48" s="20"/>
      <c r="Y48" s="5"/>
      <c r="Z48" s="20"/>
      <c r="AA48" s="5"/>
      <c r="AB48" s="20"/>
      <c r="AC48" s="5"/>
      <c r="AD48" s="20"/>
      <c r="AE48" s="5"/>
      <c r="AF48" s="20"/>
      <c r="AG48" s="5"/>
      <c r="AH48" s="20"/>
      <c r="AI48" s="5"/>
      <c r="AJ48" s="20"/>
      <c r="AK48" s="5"/>
      <c r="AL48" s="20"/>
      <c r="AM48" s="5"/>
      <c r="AN48" s="20"/>
      <c r="AO48" s="5"/>
      <c r="AP48" s="20"/>
      <c r="AQ48" s="5"/>
      <c r="AR48" s="20"/>
      <c r="AS48" s="5"/>
      <c r="AT48" s="20"/>
      <c r="AU48" s="5"/>
      <c r="AV48" s="20"/>
      <c r="AW48" s="5"/>
      <c r="AX48" s="20"/>
      <c r="AY48" s="5"/>
      <c r="AZ48" s="20"/>
      <c r="BA48" s="5"/>
      <c r="BB48" s="20"/>
      <c r="BC48" s="5"/>
      <c r="BD48" s="20"/>
      <c r="BE48" s="5"/>
      <c r="BF48" s="20"/>
      <c r="BG48" s="5"/>
      <c r="BH48" s="20"/>
      <c r="BI48" s="5"/>
      <c r="BJ48" s="20"/>
      <c r="BK48" s="5"/>
      <c r="BL48" s="20"/>
      <c r="BM48" s="5"/>
      <c r="BN48" s="21"/>
      <c r="BO48" s="25">
        <f t="shared" si="10"/>
        <v>0</v>
      </c>
      <c r="BP48" s="25" t="e">
        <f t="shared" si="11"/>
        <v>#DIV/0!</v>
      </c>
      <c r="BQ48" s="25">
        <f t="shared" si="12"/>
        <v>0</v>
      </c>
    </row>
    <row r="49" spans="1:69">
      <c r="A49" s="47">
        <f>A21</f>
        <v>1000</v>
      </c>
      <c r="B49" s="30">
        <f t="shared" ref="B49:B67" si="13">B44*10</f>
        <v>1E-3</v>
      </c>
      <c r="C49" s="19"/>
      <c r="D49" s="20"/>
      <c r="E49" s="5"/>
      <c r="F49" s="20"/>
      <c r="G49" s="5"/>
      <c r="H49" s="20"/>
      <c r="I49" s="5"/>
      <c r="J49" s="20"/>
      <c r="K49" s="5"/>
      <c r="L49" s="20"/>
      <c r="M49" s="5"/>
      <c r="N49" s="20"/>
      <c r="O49" s="5"/>
      <c r="P49" s="20"/>
      <c r="Q49" s="5"/>
      <c r="R49" s="20"/>
      <c r="S49" s="5"/>
      <c r="T49" s="20"/>
      <c r="U49" s="5"/>
      <c r="V49" s="20"/>
      <c r="W49" s="5"/>
      <c r="X49" s="20"/>
      <c r="Y49" s="5"/>
      <c r="Z49" s="20"/>
      <c r="AA49" s="5"/>
      <c r="AB49" s="20"/>
      <c r="AC49" s="5"/>
      <c r="AD49" s="20"/>
      <c r="AE49" s="5"/>
      <c r="AF49" s="20"/>
      <c r="AG49" s="5"/>
      <c r="AH49" s="20"/>
      <c r="AI49" s="5"/>
      <c r="AJ49" s="20"/>
      <c r="AK49" s="5"/>
      <c r="AL49" s="20"/>
      <c r="AM49" s="5"/>
      <c r="AN49" s="20"/>
      <c r="AO49" s="5"/>
      <c r="AP49" s="20"/>
      <c r="AQ49" s="5"/>
      <c r="AR49" s="20"/>
      <c r="AS49" s="5"/>
      <c r="AT49" s="20"/>
      <c r="AU49" s="5"/>
      <c r="AV49" s="20"/>
      <c r="AW49" s="5"/>
      <c r="AX49" s="20"/>
      <c r="AY49" s="5"/>
      <c r="AZ49" s="20"/>
      <c r="BA49" s="5"/>
      <c r="BB49" s="20"/>
      <c r="BC49" s="5"/>
      <c r="BD49" s="20"/>
      <c r="BE49" s="5"/>
      <c r="BF49" s="20"/>
      <c r="BG49" s="5"/>
      <c r="BH49" s="20"/>
      <c r="BI49" s="5"/>
      <c r="BJ49" s="20"/>
      <c r="BK49" s="5"/>
      <c r="BL49" s="20"/>
      <c r="BM49" s="5"/>
      <c r="BN49" s="21"/>
      <c r="BO49" s="25">
        <f t="shared" si="10"/>
        <v>0</v>
      </c>
      <c r="BP49" s="25" t="e">
        <f t="shared" si="11"/>
        <v>#DIV/0!</v>
      </c>
      <c r="BQ49" s="25">
        <f t="shared" si="12"/>
        <v>0</v>
      </c>
    </row>
    <row r="50" spans="1:69">
      <c r="A50" s="47">
        <f>A22</f>
        <v>500</v>
      </c>
      <c r="B50" s="30">
        <f t="shared" si="13"/>
        <v>2E-3</v>
      </c>
      <c r="C50" s="19"/>
      <c r="D50" s="20"/>
      <c r="E50" s="5"/>
      <c r="F50" s="20"/>
      <c r="G50" s="5"/>
      <c r="H50" s="20"/>
      <c r="I50" s="5"/>
      <c r="J50" s="20"/>
      <c r="K50" s="5"/>
      <c r="L50" s="20"/>
      <c r="M50" s="5"/>
      <c r="N50" s="20"/>
      <c r="O50" s="5"/>
      <c r="P50" s="20"/>
      <c r="Q50" s="5"/>
      <c r="R50" s="20"/>
      <c r="S50" s="5"/>
      <c r="T50" s="20"/>
      <c r="U50" s="5"/>
      <c r="V50" s="20"/>
      <c r="W50" s="5"/>
      <c r="X50" s="20"/>
      <c r="Y50" s="5"/>
      <c r="Z50" s="20"/>
      <c r="AA50" s="5"/>
      <c r="AB50" s="20"/>
      <c r="AC50" s="5"/>
      <c r="AD50" s="20"/>
      <c r="AE50" s="5"/>
      <c r="AF50" s="20"/>
      <c r="AG50" s="5"/>
      <c r="AH50" s="20"/>
      <c r="AI50" s="5"/>
      <c r="AJ50" s="20"/>
      <c r="AK50" s="5"/>
      <c r="AL50" s="20"/>
      <c r="AM50" s="5"/>
      <c r="AN50" s="20"/>
      <c r="AO50" s="5"/>
      <c r="AP50" s="20"/>
      <c r="AQ50" s="5"/>
      <c r="AR50" s="20"/>
      <c r="AS50" s="5"/>
      <c r="AT50" s="20"/>
      <c r="AU50" s="5"/>
      <c r="AV50" s="20"/>
      <c r="AW50" s="5"/>
      <c r="AX50" s="20"/>
      <c r="AY50" s="5"/>
      <c r="AZ50" s="20"/>
      <c r="BA50" s="5"/>
      <c r="BB50" s="20"/>
      <c r="BC50" s="5"/>
      <c r="BD50" s="20"/>
      <c r="BE50" s="5"/>
      <c r="BF50" s="20"/>
      <c r="BG50" s="5"/>
      <c r="BH50" s="20"/>
      <c r="BI50" s="5"/>
      <c r="BJ50" s="20"/>
      <c r="BK50" s="5"/>
      <c r="BL50" s="20"/>
      <c r="BM50" s="5"/>
      <c r="BN50" s="21"/>
      <c r="BO50" s="25">
        <f t="shared" si="10"/>
        <v>0</v>
      </c>
      <c r="BP50" s="25" t="e">
        <f t="shared" si="11"/>
        <v>#DIV/0!</v>
      </c>
      <c r="BQ50" s="25">
        <f t="shared" si="12"/>
        <v>0</v>
      </c>
    </row>
    <row r="51" spans="1:69">
      <c r="A51" s="47">
        <f>A23</f>
        <v>300</v>
      </c>
      <c r="B51" s="30">
        <f t="shared" si="13"/>
        <v>3.0000000000000001E-3</v>
      </c>
      <c r="C51" s="19"/>
      <c r="D51" s="20"/>
      <c r="E51" s="5"/>
      <c r="F51" s="20"/>
      <c r="G51" s="5"/>
      <c r="H51" s="20"/>
      <c r="I51" s="5"/>
      <c r="J51" s="20"/>
      <c r="K51" s="5"/>
      <c r="L51" s="20"/>
      <c r="M51" s="5"/>
      <c r="N51" s="20"/>
      <c r="O51" s="5"/>
      <c r="P51" s="20"/>
      <c r="Q51" s="5"/>
      <c r="R51" s="20"/>
      <c r="S51" s="5"/>
      <c r="T51" s="20"/>
      <c r="U51" s="5"/>
      <c r="V51" s="20"/>
      <c r="W51" s="5"/>
      <c r="X51" s="20"/>
      <c r="Y51" s="5"/>
      <c r="Z51" s="20"/>
      <c r="AA51" s="5"/>
      <c r="AB51" s="20"/>
      <c r="AC51" s="5"/>
      <c r="AD51" s="20"/>
      <c r="AE51" s="5"/>
      <c r="AF51" s="20"/>
      <c r="AG51" s="5"/>
      <c r="AH51" s="20"/>
      <c r="AI51" s="5"/>
      <c r="AJ51" s="20"/>
      <c r="AK51" s="5"/>
      <c r="AL51" s="20"/>
      <c r="AM51" s="5"/>
      <c r="AN51" s="20"/>
      <c r="AO51" s="5"/>
      <c r="AP51" s="20"/>
      <c r="AQ51" s="5"/>
      <c r="AR51" s="20"/>
      <c r="AS51" s="5"/>
      <c r="AT51" s="20"/>
      <c r="AU51" s="5"/>
      <c r="AV51" s="20"/>
      <c r="AW51" s="5"/>
      <c r="AX51" s="20"/>
      <c r="AY51" s="5"/>
      <c r="AZ51" s="20"/>
      <c r="BA51" s="5"/>
      <c r="BB51" s="20"/>
      <c r="BC51" s="5"/>
      <c r="BD51" s="20"/>
      <c r="BE51" s="5"/>
      <c r="BF51" s="20"/>
      <c r="BG51" s="5"/>
      <c r="BH51" s="20"/>
      <c r="BI51" s="5"/>
      <c r="BJ51" s="20"/>
      <c r="BK51" s="5"/>
      <c r="BL51" s="20"/>
      <c r="BM51" s="5"/>
      <c r="BN51" s="21"/>
      <c r="BO51" s="25">
        <f t="shared" si="10"/>
        <v>0</v>
      </c>
      <c r="BP51" s="25" t="e">
        <f t="shared" si="11"/>
        <v>#DIV/0!</v>
      </c>
      <c r="BQ51" s="25">
        <f t="shared" si="12"/>
        <v>0</v>
      </c>
    </row>
    <row r="52" spans="1:69">
      <c r="A52" s="47">
        <f>A24</f>
        <v>300</v>
      </c>
      <c r="B52" s="30">
        <f t="shared" si="13"/>
        <v>5.0000000000000001E-3</v>
      </c>
      <c r="C52" s="19"/>
      <c r="D52" s="20"/>
      <c r="E52" s="5"/>
      <c r="F52" s="20"/>
      <c r="G52" s="5"/>
      <c r="H52" s="20"/>
      <c r="I52" s="5"/>
      <c r="J52" s="20"/>
      <c r="K52" s="5"/>
      <c r="L52" s="20"/>
      <c r="M52" s="5"/>
      <c r="N52" s="20"/>
      <c r="O52" s="5"/>
      <c r="P52" s="20"/>
      <c r="Q52" s="5"/>
      <c r="R52" s="20"/>
      <c r="S52" s="5"/>
      <c r="T52" s="20"/>
      <c r="U52" s="5"/>
      <c r="V52" s="20"/>
      <c r="W52" s="5"/>
      <c r="X52" s="20"/>
      <c r="Y52" s="5"/>
      <c r="Z52" s="20"/>
      <c r="AA52" s="5"/>
      <c r="AB52" s="20"/>
      <c r="AC52" s="5"/>
      <c r="AD52" s="20"/>
      <c r="AE52" s="5"/>
      <c r="AF52" s="20"/>
      <c r="AG52" s="5"/>
      <c r="AH52" s="20"/>
      <c r="AI52" s="5"/>
      <c r="AJ52" s="20"/>
      <c r="AK52" s="5"/>
      <c r="AL52" s="20"/>
      <c r="AM52" s="5"/>
      <c r="AN52" s="20"/>
      <c r="AO52" s="5"/>
      <c r="AP52" s="20"/>
      <c r="AQ52" s="5"/>
      <c r="AR52" s="20"/>
      <c r="AS52" s="5"/>
      <c r="AT52" s="20"/>
      <c r="AU52" s="5"/>
      <c r="AV52" s="20"/>
      <c r="AW52" s="5"/>
      <c r="AX52" s="20"/>
      <c r="AY52" s="5"/>
      <c r="AZ52" s="20"/>
      <c r="BA52" s="5"/>
      <c r="BB52" s="20"/>
      <c r="BC52" s="5"/>
      <c r="BD52" s="20"/>
      <c r="BE52" s="5"/>
      <c r="BF52" s="20"/>
      <c r="BG52" s="5"/>
      <c r="BH52" s="20"/>
      <c r="BI52" s="5"/>
      <c r="BJ52" s="20"/>
      <c r="BK52" s="5"/>
      <c r="BL52" s="20"/>
      <c r="BM52" s="5"/>
      <c r="BN52" s="21"/>
      <c r="BO52" s="25">
        <f t="shared" si="10"/>
        <v>0</v>
      </c>
      <c r="BP52" s="25" t="e">
        <f t="shared" si="11"/>
        <v>#DIV/0!</v>
      </c>
      <c r="BQ52" s="25">
        <f t="shared" si="12"/>
        <v>0</v>
      </c>
    </row>
    <row r="53" spans="1:69">
      <c r="A53" s="47">
        <f>A25</f>
        <v>300</v>
      </c>
      <c r="B53" s="30">
        <f t="shared" si="13"/>
        <v>7.0000000000000001E-3</v>
      </c>
      <c r="C53" s="19"/>
      <c r="D53" s="20"/>
      <c r="E53" s="5"/>
      <c r="F53" s="20"/>
      <c r="G53" s="5"/>
      <c r="H53" s="20"/>
      <c r="I53" s="5"/>
      <c r="J53" s="20"/>
      <c r="K53" s="5"/>
      <c r="L53" s="20"/>
      <c r="M53" s="5"/>
      <c r="N53" s="20"/>
      <c r="O53" s="5"/>
      <c r="P53" s="20"/>
      <c r="Q53" s="5"/>
      <c r="R53" s="20"/>
      <c r="S53" s="5"/>
      <c r="T53" s="20"/>
      <c r="U53" s="5"/>
      <c r="V53" s="20"/>
      <c r="W53" s="5"/>
      <c r="X53" s="20"/>
      <c r="Y53" s="5"/>
      <c r="Z53" s="20"/>
      <c r="AA53" s="5"/>
      <c r="AB53" s="20"/>
      <c r="AC53" s="5"/>
      <c r="AD53" s="20"/>
      <c r="AE53" s="5"/>
      <c r="AF53" s="20"/>
      <c r="AG53" s="5"/>
      <c r="AH53" s="20"/>
      <c r="AI53" s="5"/>
      <c r="AJ53" s="20"/>
      <c r="AK53" s="5"/>
      <c r="AL53" s="20"/>
      <c r="AM53" s="5"/>
      <c r="AN53" s="20"/>
      <c r="AO53" s="5"/>
      <c r="AP53" s="20"/>
      <c r="AQ53" s="5"/>
      <c r="AR53" s="20"/>
      <c r="AS53" s="5"/>
      <c r="AT53" s="20"/>
      <c r="AU53" s="5"/>
      <c r="AV53" s="20"/>
      <c r="AW53" s="5"/>
      <c r="AX53" s="20"/>
      <c r="AY53" s="5"/>
      <c r="AZ53" s="20"/>
      <c r="BA53" s="5"/>
      <c r="BB53" s="20"/>
      <c r="BC53" s="5"/>
      <c r="BD53" s="20"/>
      <c r="BE53" s="5"/>
      <c r="BF53" s="20"/>
      <c r="BG53" s="5"/>
      <c r="BH53" s="20"/>
      <c r="BI53" s="5"/>
      <c r="BJ53" s="20"/>
      <c r="BK53" s="5"/>
      <c r="BL53" s="20"/>
      <c r="BM53" s="5"/>
      <c r="BN53" s="21"/>
      <c r="BO53" s="25">
        <f t="shared" si="10"/>
        <v>0</v>
      </c>
      <c r="BP53" s="25" t="e">
        <f t="shared" si="11"/>
        <v>#DIV/0!</v>
      </c>
      <c r="BQ53" s="25">
        <f t="shared" si="12"/>
        <v>0</v>
      </c>
    </row>
    <row r="54" spans="1:69">
      <c r="A54" s="47">
        <f>A26</f>
        <v>200</v>
      </c>
      <c r="B54" s="30">
        <f t="shared" si="13"/>
        <v>0.01</v>
      </c>
      <c r="C54" s="19"/>
      <c r="D54" s="20"/>
      <c r="E54" s="5"/>
      <c r="F54" s="20"/>
      <c r="G54" s="5"/>
      <c r="H54" s="20"/>
      <c r="I54" s="5"/>
      <c r="J54" s="20"/>
      <c r="K54" s="5"/>
      <c r="L54" s="20"/>
      <c r="M54" s="5"/>
      <c r="N54" s="20"/>
      <c r="O54" s="5"/>
      <c r="P54" s="20"/>
      <c r="Q54" s="5"/>
      <c r="R54" s="20"/>
      <c r="S54" s="5"/>
      <c r="T54" s="20"/>
      <c r="U54" s="5"/>
      <c r="V54" s="20"/>
      <c r="W54" s="5"/>
      <c r="X54" s="20"/>
      <c r="Y54" s="5"/>
      <c r="Z54" s="20"/>
      <c r="AA54" s="5"/>
      <c r="AB54" s="20"/>
      <c r="AC54" s="5"/>
      <c r="AD54" s="20"/>
      <c r="AE54" s="5"/>
      <c r="AF54" s="20"/>
      <c r="AG54" s="5"/>
      <c r="AH54" s="20"/>
      <c r="AI54" s="5"/>
      <c r="AJ54" s="20"/>
      <c r="AK54" s="5"/>
      <c r="AL54" s="20"/>
      <c r="AM54" s="5"/>
      <c r="AN54" s="20"/>
      <c r="AO54" s="5"/>
      <c r="AP54" s="20"/>
      <c r="AQ54" s="5"/>
      <c r="AR54" s="20"/>
      <c r="AS54" s="5"/>
      <c r="AT54" s="20"/>
      <c r="AU54" s="5"/>
      <c r="AV54" s="20"/>
      <c r="AW54" s="5"/>
      <c r="AX54" s="20"/>
      <c r="AY54" s="5"/>
      <c r="AZ54" s="20"/>
      <c r="BA54" s="5"/>
      <c r="BB54" s="20"/>
      <c r="BC54" s="5"/>
      <c r="BD54" s="20"/>
      <c r="BE54" s="5"/>
      <c r="BF54" s="20"/>
      <c r="BG54" s="5"/>
      <c r="BH54" s="20"/>
      <c r="BI54" s="5"/>
      <c r="BJ54" s="20"/>
      <c r="BK54" s="5"/>
      <c r="BL54" s="20"/>
      <c r="BM54" s="5"/>
      <c r="BN54" s="21"/>
      <c r="BO54" s="25">
        <f t="shared" si="10"/>
        <v>0</v>
      </c>
      <c r="BP54" s="25" t="e">
        <f t="shared" si="11"/>
        <v>#DIV/0!</v>
      </c>
      <c r="BQ54" s="25">
        <f t="shared" si="12"/>
        <v>0</v>
      </c>
    </row>
    <row r="55" spans="1:69">
      <c r="A55" s="47">
        <f>A27</f>
        <v>200</v>
      </c>
      <c r="B55" s="30">
        <f t="shared" si="13"/>
        <v>0.02</v>
      </c>
      <c r="C55" s="19"/>
      <c r="D55" s="20"/>
      <c r="E55" s="5"/>
      <c r="F55" s="20"/>
      <c r="G55" s="5"/>
      <c r="H55" s="20"/>
      <c r="I55" s="5"/>
      <c r="J55" s="20"/>
      <c r="K55" s="5"/>
      <c r="L55" s="20"/>
      <c r="M55" s="5"/>
      <c r="N55" s="20"/>
      <c r="O55" s="5"/>
      <c r="P55" s="20"/>
      <c r="Q55" s="5"/>
      <c r="R55" s="20"/>
      <c r="S55" s="5"/>
      <c r="T55" s="20"/>
      <c r="U55" s="5"/>
      <c r="V55" s="20"/>
      <c r="W55" s="5"/>
      <c r="X55" s="20"/>
      <c r="Y55" s="5"/>
      <c r="Z55" s="20"/>
      <c r="AA55" s="5"/>
      <c r="AB55" s="20"/>
      <c r="AC55" s="5"/>
      <c r="AD55" s="20"/>
      <c r="AE55" s="5"/>
      <c r="AF55" s="20"/>
      <c r="AG55" s="5"/>
      <c r="AH55" s="20"/>
      <c r="AI55" s="5"/>
      <c r="AJ55" s="20"/>
      <c r="AK55" s="5"/>
      <c r="AL55" s="20"/>
      <c r="AM55" s="5"/>
      <c r="AN55" s="20"/>
      <c r="AO55" s="5"/>
      <c r="AP55" s="20"/>
      <c r="AQ55" s="5"/>
      <c r="AR55" s="20"/>
      <c r="AS55" s="5"/>
      <c r="AT55" s="20"/>
      <c r="AU55" s="5"/>
      <c r="AV55" s="20"/>
      <c r="AW55" s="5"/>
      <c r="AX55" s="20"/>
      <c r="AY55" s="5"/>
      <c r="AZ55" s="20"/>
      <c r="BA55" s="5"/>
      <c r="BB55" s="20"/>
      <c r="BC55" s="5"/>
      <c r="BD55" s="20"/>
      <c r="BE55" s="5"/>
      <c r="BF55" s="20"/>
      <c r="BG55" s="5"/>
      <c r="BH55" s="20"/>
      <c r="BI55" s="5"/>
      <c r="BJ55" s="20"/>
      <c r="BK55" s="5"/>
      <c r="BL55" s="20"/>
      <c r="BM55" s="5"/>
      <c r="BN55" s="21"/>
      <c r="BO55" s="25">
        <f t="shared" si="10"/>
        <v>0</v>
      </c>
      <c r="BP55" s="25" t="e">
        <f t="shared" si="11"/>
        <v>#DIV/0!</v>
      </c>
      <c r="BQ55" s="25">
        <f t="shared" si="12"/>
        <v>0</v>
      </c>
    </row>
    <row r="56" spans="1:69">
      <c r="A56" s="47">
        <f>A28</f>
        <v>200</v>
      </c>
      <c r="B56" s="30">
        <f t="shared" si="13"/>
        <v>0.03</v>
      </c>
      <c r="C56" s="19"/>
      <c r="D56" s="20"/>
      <c r="E56" s="5"/>
      <c r="F56" s="20"/>
      <c r="G56" s="5"/>
      <c r="H56" s="20"/>
      <c r="I56" s="5"/>
      <c r="J56" s="20"/>
      <c r="K56" s="5"/>
      <c r="L56" s="20"/>
      <c r="M56" s="5"/>
      <c r="N56" s="20"/>
      <c r="O56" s="5"/>
      <c r="P56" s="20"/>
      <c r="Q56" s="5"/>
      <c r="R56" s="20"/>
      <c r="S56" s="5"/>
      <c r="T56" s="20"/>
      <c r="U56" s="5"/>
      <c r="V56" s="20"/>
      <c r="W56" s="5"/>
      <c r="X56" s="20"/>
      <c r="Y56" s="5"/>
      <c r="Z56" s="20"/>
      <c r="AA56" s="5"/>
      <c r="AB56" s="20"/>
      <c r="AC56" s="5"/>
      <c r="AD56" s="20"/>
      <c r="AE56" s="5"/>
      <c r="AF56" s="20"/>
      <c r="AG56" s="5"/>
      <c r="AH56" s="20"/>
      <c r="AI56" s="5"/>
      <c r="AJ56" s="20"/>
      <c r="AK56" s="5"/>
      <c r="AL56" s="20"/>
      <c r="AM56" s="5"/>
      <c r="AN56" s="20"/>
      <c r="AO56" s="5"/>
      <c r="AP56" s="20"/>
      <c r="AQ56" s="5"/>
      <c r="AR56" s="20"/>
      <c r="AS56" s="5"/>
      <c r="AT56" s="20"/>
      <c r="AU56" s="5"/>
      <c r="AV56" s="20"/>
      <c r="AW56" s="5"/>
      <c r="AX56" s="20"/>
      <c r="AY56" s="5"/>
      <c r="AZ56" s="20"/>
      <c r="BA56" s="5"/>
      <c r="BB56" s="20"/>
      <c r="BC56" s="5"/>
      <c r="BD56" s="20"/>
      <c r="BE56" s="5"/>
      <c r="BF56" s="20"/>
      <c r="BG56" s="5"/>
      <c r="BH56" s="20"/>
      <c r="BI56" s="5"/>
      <c r="BJ56" s="20"/>
      <c r="BK56" s="5"/>
      <c r="BL56" s="20"/>
      <c r="BM56" s="5"/>
      <c r="BN56" s="21"/>
      <c r="BO56" s="25">
        <f t="shared" si="10"/>
        <v>0</v>
      </c>
      <c r="BP56" s="25" t="e">
        <f t="shared" si="11"/>
        <v>#DIV/0!</v>
      </c>
      <c r="BQ56" s="25">
        <f t="shared" si="12"/>
        <v>0</v>
      </c>
    </row>
    <row r="57" spans="1:69">
      <c r="A57" s="47">
        <f>A29</f>
        <v>200</v>
      </c>
      <c r="B57" s="30">
        <f t="shared" si="13"/>
        <v>0.05</v>
      </c>
      <c r="C57" s="19"/>
      <c r="D57" s="20"/>
      <c r="E57" s="5"/>
      <c r="F57" s="20"/>
      <c r="G57" s="5"/>
      <c r="H57" s="20"/>
      <c r="I57" s="5"/>
      <c r="J57" s="20"/>
      <c r="K57" s="5"/>
      <c r="L57" s="20"/>
      <c r="M57" s="5"/>
      <c r="N57" s="20"/>
      <c r="O57" s="5"/>
      <c r="P57" s="20"/>
      <c r="Q57" s="5"/>
      <c r="R57" s="20"/>
      <c r="S57" s="5"/>
      <c r="T57" s="20"/>
      <c r="U57" s="5"/>
      <c r="V57" s="20"/>
      <c r="W57" s="5"/>
      <c r="X57" s="20"/>
      <c r="Y57" s="5"/>
      <c r="Z57" s="20"/>
      <c r="AA57" s="5"/>
      <c r="AB57" s="20"/>
      <c r="AC57" s="5"/>
      <c r="AD57" s="20"/>
      <c r="AE57" s="5"/>
      <c r="AF57" s="20"/>
      <c r="AG57" s="5"/>
      <c r="AH57" s="20"/>
      <c r="AI57" s="5"/>
      <c r="AJ57" s="20"/>
      <c r="AK57" s="5"/>
      <c r="AL57" s="20"/>
      <c r="AM57" s="5"/>
      <c r="AN57" s="20"/>
      <c r="AO57" s="5"/>
      <c r="AP57" s="20"/>
      <c r="AQ57" s="5"/>
      <c r="AR57" s="20"/>
      <c r="AS57" s="5"/>
      <c r="AT57" s="20"/>
      <c r="AU57" s="5"/>
      <c r="AV57" s="20"/>
      <c r="AW57" s="5"/>
      <c r="AX57" s="20"/>
      <c r="AY57" s="5"/>
      <c r="AZ57" s="20"/>
      <c r="BA57" s="5"/>
      <c r="BB57" s="20"/>
      <c r="BC57" s="5"/>
      <c r="BD57" s="20"/>
      <c r="BE57" s="5"/>
      <c r="BF57" s="20"/>
      <c r="BG57" s="5"/>
      <c r="BH57" s="20"/>
      <c r="BI57" s="5"/>
      <c r="BJ57" s="20"/>
      <c r="BK57" s="5"/>
      <c r="BL57" s="20"/>
      <c r="BM57" s="5"/>
      <c r="BN57" s="21"/>
      <c r="BO57" s="25">
        <f t="shared" si="10"/>
        <v>0</v>
      </c>
      <c r="BP57" s="25" t="e">
        <f t="shared" si="11"/>
        <v>#DIV/0!</v>
      </c>
      <c r="BQ57" s="25">
        <f t="shared" si="12"/>
        <v>0</v>
      </c>
    </row>
    <row r="58" spans="1:69">
      <c r="A58" s="47">
        <f>A30</f>
        <v>200</v>
      </c>
      <c r="B58" s="30">
        <f t="shared" si="13"/>
        <v>7.0000000000000007E-2</v>
      </c>
      <c r="C58" s="19"/>
      <c r="D58" s="20"/>
      <c r="E58" s="5"/>
      <c r="F58" s="20"/>
      <c r="G58" s="5"/>
      <c r="H58" s="20"/>
      <c r="I58" s="5"/>
      <c r="J58" s="20"/>
      <c r="K58" s="5"/>
      <c r="L58" s="20"/>
      <c r="M58" s="5"/>
      <c r="N58" s="20"/>
      <c r="O58" s="5"/>
      <c r="P58" s="20"/>
      <c r="Q58" s="5"/>
      <c r="R58" s="20"/>
      <c r="S58" s="5"/>
      <c r="T58" s="20"/>
      <c r="U58" s="5"/>
      <c r="V58" s="20"/>
      <c r="W58" s="5"/>
      <c r="X58" s="20"/>
      <c r="Y58" s="5"/>
      <c r="Z58" s="20"/>
      <c r="AA58" s="5"/>
      <c r="AB58" s="20"/>
      <c r="AC58" s="5"/>
      <c r="AD58" s="20"/>
      <c r="AE58" s="5"/>
      <c r="AF58" s="20"/>
      <c r="AG58" s="5"/>
      <c r="AH58" s="20"/>
      <c r="AI58" s="5"/>
      <c r="AJ58" s="20"/>
      <c r="AK58" s="5"/>
      <c r="AL58" s="20"/>
      <c r="AM58" s="5"/>
      <c r="AN58" s="20"/>
      <c r="AO58" s="5"/>
      <c r="AP58" s="20"/>
      <c r="AQ58" s="5"/>
      <c r="AR58" s="20"/>
      <c r="AS58" s="5"/>
      <c r="AT58" s="20"/>
      <c r="AU58" s="5"/>
      <c r="AV58" s="20"/>
      <c r="AW58" s="5"/>
      <c r="AX58" s="20"/>
      <c r="AY58" s="5"/>
      <c r="AZ58" s="20"/>
      <c r="BA58" s="5"/>
      <c r="BB58" s="20"/>
      <c r="BC58" s="5"/>
      <c r="BD58" s="20"/>
      <c r="BE58" s="5"/>
      <c r="BF58" s="20"/>
      <c r="BG58" s="5"/>
      <c r="BH58" s="20"/>
      <c r="BI58" s="5"/>
      <c r="BJ58" s="20"/>
      <c r="BK58" s="5"/>
      <c r="BL58" s="20"/>
      <c r="BM58" s="5"/>
      <c r="BN58" s="21"/>
      <c r="BO58" s="25">
        <f t="shared" si="10"/>
        <v>0</v>
      </c>
      <c r="BP58" s="25" t="e">
        <f t="shared" si="11"/>
        <v>#DIV/0!</v>
      </c>
      <c r="BQ58" s="25">
        <f t="shared" si="12"/>
        <v>0</v>
      </c>
    </row>
    <row r="59" spans="1:69">
      <c r="A59" s="47">
        <f>A31</f>
        <v>200</v>
      </c>
      <c r="B59" s="30">
        <f t="shared" si="13"/>
        <v>0.1</v>
      </c>
      <c r="C59" s="19"/>
      <c r="D59" s="20"/>
      <c r="E59" s="5"/>
      <c r="F59" s="20"/>
      <c r="G59" s="5"/>
      <c r="H59" s="20"/>
      <c r="I59" s="5"/>
      <c r="J59" s="20"/>
      <c r="K59" s="5"/>
      <c r="L59" s="20"/>
      <c r="M59" s="5"/>
      <c r="N59" s="20"/>
      <c r="O59" s="5"/>
      <c r="P59" s="20"/>
      <c r="Q59" s="5"/>
      <c r="R59" s="20"/>
      <c r="S59" s="5"/>
      <c r="T59" s="20"/>
      <c r="U59" s="5"/>
      <c r="V59" s="20"/>
      <c r="W59" s="5"/>
      <c r="X59" s="20"/>
      <c r="Y59" s="5"/>
      <c r="Z59" s="20"/>
      <c r="AA59" s="5"/>
      <c r="AB59" s="20"/>
      <c r="AC59" s="5"/>
      <c r="AD59" s="20"/>
      <c r="AE59" s="5"/>
      <c r="AF59" s="20"/>
      <c r="AG59" s="5"/>
      <c r="AH59" s="20"/>
      <c r="AI59" s="5"/>
      <c r="AJ59" s="20"/>
      <c r="AK59" s="5"/>
      <c r="AL59" s="20"/>
      <c r="AM59" s="5"/>
      <c r="AN59" s="20"/>
      <c r="AO59" s="5"/>
      <c r="AP59" s="20"/>
      <c r="AQ59" s="5"/>
      <c r="AR59" s="20"/>
      <c r="AS59" s="5"/>
      <c r="AT59" s="20"/>
      <c r="AU59" s="5"/>
      <c r="AV59" s="20"/>
      <c r="AW59" s="5"/>
      <c r="AX59" s="20"/>
      <c r="AY59" s="5"/>
      <c r="AZ59" s="20"/>
      <c r="BA59" s="5"/>
      <c r="BB59" s="20"/>
      <c r="BC59" s="5"/>
      <c r="BD59" s="20"/>
      <c r="BE59" s="5"/>
      <c r="BF59" s="20"/>
      <c r="BG59" s="5"/>
      <c r="BH59" s="20"/>
      <c r="BI59" s="5"/>
      <c r="BJ59" s="20"/>
      <c r="BK59" s="5"/>
      <c r="BL59" s="20"/>
      <c r="BM59" s="5"/>
      <c r="BN59" s="21"/>
      <c r="BO59" s="25">
        <f t="shared" si="10"/>
        <v>0</v>
      </c>
      <c r="BP59" s="25" t="e">
        <f t="shared" si="11"/>
        <v>#DIV/0!</v>
      </c>
      <c r="BQ59" s="25">
        <f t="shared" si="12"/>
        <v>0</v>
      </c>
    </row>
    <row r="60" spans="1:69">
      <c r="A60" s="47">
        <f>A32</f>
        <v>200</v>
      </c>
      <c r="B60" s="30">
        <f t="shared" si="13"/>
        <v>0.2</v>
      </c>
      <c r="C60" s="19"/>
      <c r="D60" s="20"/>
      <c r="E60" s="5"/>
      <c r="F60" s="20"/>
      <c r="G60" s="5"/>
      <c r="H60" s="20"/>
      <c r="I60" s="5"/>
      <c r="J60" s="20"/>
      <c r="K60" s="5"/>
      <c r="L60" s="20"/>
      <c r="M60" s="5"/>
      <c r="N60" s="20"/>
      <c r="O60" s="5"/>
      <c r="P60" s="20"/>
      <c r="Q60" s="5"/>
      <c r="R60" s="20"/>
      <c r="S60" s="5"/>
      <c r="T60" s="20"/>
      <c r="U60" s="5"/>
      <c r="V60" s="20"/>
      <c r="W60" s="5"/>
      <c r="X60" s="20"/>
      <c r="Y60" s="5"/>
      <c r="Z60" s="20"/>
      <c r="AA60" s="5"/>
      <c r="AB60" s="20"/>
      <c r="AC60" s="5"/>
      <c r="AD60" s="20"/>
      <c r="AE60" s="5"/>
      <c r="AF60" s="20"/>
      <c r="AG60" s="5"/>
      <c r="AH60" s="20"/>
      <c r="AI60" s="5"/>
      <c r="AJ60" s="20"/>
      <c r="AK60" s="5"/>
      <c r="AL60" s="20"/>
      <c r="AM60" s="5"/>
      <c r="AN60" s="20"/>
      <c r="AO60" s="5"/>
      <c r="AP60" s="20"/>
      <c r="AQ60" s="5"/>
      <c r="AR60" s="20"/>
      <c r="AS60" s="5"/>
      <c r="AT60" s="20"/>
      <c r="AU60" s="5"/>
      <c r="AV60" s="20"/>
      <c r="AW60" s="5"/>
      <c r="AX60" s="20"/>
      <c r="AY60" s="5"/>
      <c r="AZ60" s="20"/>
      <c r="BA60" s="5"/>
      <c r="BB60" s="20"/>
      <c r="BC60" s="5"/>
      <c r="BD60" s="20"/>
      <c r="BE60" s="5"/>
      <c r="BF60" s="20"/>
      <c r="BG60" s="5"/>
      <c r="BH60" s="20"/>
      <c r="BI60" s="5"/>
      <c r="BJ60" s="20"/>
      <c r="BK60" s="5"/>
      <c r="BL60" s="20"/>
      <c r="BM60" s="5"/>
      <c r="BN60" s="21"/>
      <c r="BO60" s="25">
        <f t="shared" si="10"/>
        <v>0</v>
      </c>
      <c r="BP60" s="25" t="e">
        <f t="shared" si="11"/>
        <v>#DIV/0!</v>
      </c>
      <c r="BQ60" s="25">
        <f t="shared" si="12"/>
        <v>0</v>
      </c>
    </row>
    <row r="61" spans="1:69">
      <c r="A61" s="47">
        <f>A33</f>
        <v>200</v>
      </c>
      <c r="B61" s="30">
        <f t="shared" si="13"/>
        <v>0.3</v>
      </c>
      <c r="C61" s="19"/>
      <c r="D61" s="20"/>
      <c r="E61" s="5"/>
      <c r="F61" s="20"/>
      <c r="G61" s="5"/>
      <c r="H61" s="20"/>
      <c r="I61" s="5"/>
      <c r="J61" s="20"/>
      <c r="K61" s="5"/>
      <c r="L61" s="20"/>
      <c r="M61" s="5"/>
      <c r="N61" s="20"/>
      <c r="O61" s="5"/>
      <c r="P61" s="20"/>
      <c r="Q61" s="5"/>
      <c r="R61" s="20"/>
      <c r="S61" s="5"/>
      <c r="T61" s="20"/>
      <c r="U61" s="5"/>
      <c r="V61" s="20"/>
      <c r="W61" s="5"/>
      <c r="X61" s="20"/>
      <c r="Y61" s="5"/>
      <c r="Z61" s="20"/>
      <c r="AA61" s="5"/>
      <c r="AB61" s="20"/>
      <c r="AC61" s="5"/>
      <c r="AD61" s="20"/>
      <c r="AE61" s="5"/>
      <c r="AF61" s="20"/>
      <c r="AG61" s="5"/>
      <c r="AH61" s="20"/>
      <c r="AI61" s="5"/>
      <c r="AJ61" s="20"/>
      <c r="AK61" s="5"/>
      <c r="AL61" s="20"/>
      <c r="AM61" s="5"/>
      <c r="AN61" s="20"/>
      <c r="AO61" s="5"/>
      <c r="AP61" s="20"/>
      <c r="AQ61" s="5"/>
      <c r="AR61" s="20"/>
      <c r="AS61" s="5"/>
      <c r="AT61" s="20"/>
      <c r="AU61" s="5"/>
      <c r="AV61" s="20"/>
      <c r="AW61" s="5"/>
      <c r="AX61" s="20"/>
      <c r="AY61" s="5"/>
      <c r="AZ61" s="20"/>
      <c r="BA61" s="5"/>
      <c r="BB61" s="20"/>
      <c r="BC61" s="5"/>
      <c r="BD61" s="20"/>
      <c r="BE61" s="5"/>
      <c r="BF61" s="20"/>
      <c r="BG61" s="5"/>
      <c r="BH61" s="20"/>
      <c r="BI61" s="5"/>
      <c r="BJ61" s="20"/>
      <c r="BK61" s="5"/>
      <c r="BL61" s="20"/>
      <c r="BM61" s="5"/>
      <c r="BN61" s="21"/>
      <c r="BO61" s="25">
        <f t="shared" si="10"/>
        <v>0</v>
      </c>
      <c r="BP61" s="25" t="e">
        <f t="shared" si="11"/>
        <v>#DIV/0!</v>
      </c>
      <c r="BQ61" s="25">
        <f t="shared" si="12"/>
        <v>0</v>
      </c>
    </row>
    <row r="62" spans="1:69">
      <c r="A62" s="47">
        <f>A34</f>
        <v>200</v>
      </c>
      <c r="B62" s="30">
        <f t="shared" si="13"/>
        <v>0.5</v>
      </c>
      <c r="C62" s="19"/>
      <c r="D62" s="20"/>
      <c r="E62" s="5"/>
      <c r="F62" s="20"/>
      <c r="G62" s="5"/>
      <c r="H62" s="20"/>
      <c r="I62" s="5"/>
      <c r="J62" s="20"/>
      <c r="K62" s="5"/>
      <c r="L62" s="20"/>
      <c r="M62" s="5"/>
      <c r="N62" s="20"/>
      <c r="O62" s="5"/>
      <c r="P62" s="20"/>
      <c r="Q62" s="5"/>
      <c r="R62" s="20"/>
      <c r="S62" s="5"/>
      <c r="T62" s="20"/>
      <c r="U62" s="5"/>
      <c r="V62" s="20"/>
      <c r="W62" s="5"/>
      <c r="X62" s="20"/>
      <c r="Y62" s="5"/>
      <c r="Z62" s="20"/>
      <c r="AA62" s="5"/>
      <c r="AB62" s="20"/>
      <c r="AC62" s="5"/>
      <c r="AD62" s="20"/>
      <c r="AE62" s="5"/>
      <c r="AF62" s="20"/>
      <c r="AG62" s="5"/>
      <c r="AH62" s="20"/>
      <c r="AI62" s="5"/>
      <c r="AJ62" s="20"/>
      <c r="AK62" s="5"/>
      <c r="AL62" s="20"/>
      <c r="AM62" s="5"/>
      <c r="AN62" s="20"/>
      <c r="AO62" s="5"/>
      <c r="AP62" s="20"/>
      <c r="AQ62" s="5"/>
      <c r="AR62" s="20"/>
      <c r="AS62" s="5"/>
      <c r="AT62" s="20"/>
      <c r="AU62" s="5"/>
      <c r="AV62" s="20"/>
      <c r="AW62" s="5"/>
      <c r="AX62" s="20"/>
      <c r="AY62" s="5"/>
      <c r="AZ62" s="20"/>
      <c r="BA62" s="5"/>
      <c r="BB62" s="20"/>
      <c r="BC62" s="5"/>
      <c r="BD62" s="20"/>
      <c r="BE62" s="5"/>
      <c r="BF62" s="20"/>
      <c r="BG62" s="5"/>
      <c r="BH62" s="20"/>
      <c r="BI62" s="5"/>
      <c r="BJ62" s="20"/>
      <c r="BK62" s="5"/>
      <c r="BL62" s="20"/>
      <c r="BM62" s="5"/>
      <c r="BN62" s="21"/>
      <c r="BO62" s="25">
        <f t="shared" si="10"/>
        <v>0</v>
      </c>
      <c r="BP62" s="25" t="e">
        <f t="shared" si="11"/>
        <v>#DIV/0!</v>
      </c>
      <c r="BQ62" s="25">
        <f t="shared" si="12"/>
        <v>0</v>
      </c>
    </row>
    <row r="63" spans="1:69">
      <c r="A63" s="47">
        <f>A35</f>
        <v>200</v>
      </c>
      <c r="B63" s="30">
        <f t="shared" si="13"/>
        <v>0.70000000000000007</v>
      </c>
      <c r="C63" s="19"/>
      <c r="D63" s="20"/>
      <c r="E63" s="5"/>
      <c r="F63" s="20"/>
      <c r="G63" s="5"/>
      <c r="H63" s="20"/>
      <c r="I63" s="5"/>
      <c r="J63" s="20"/>
      <c r="K63" s="5"/>
      <c r="L63" s="20"/>
      <c r="M63" s="5"/>
      <c r="N63" s="20"/>
      <c r="O63" s="5"/>
      <c r="P63" s="20"/>
      <c r="Q63" s="5"/>
      <c r="R63" s="20"/>
      <c r="S63" s="5"/>
      <c r="T63" s="20"/>
      <c r="U63" s="5"/>
      <c r="V63" s="20"/>
      <c r="W63" s="5"/>
      <c r="X63" s="20"/>
      <c r="Y63" s="5"/>
      <c r="Z63" s="20"/>
      <c r="AA63" s="5"/>
      <c r="AB63" s="20"/>
      <c r="AC63" s="5"/>
      <c r="AD63" s="20"/>
      <c r="AE63" s="5"/>
      <c r="AF63" s="20"/>
      <c r="AG63" s="5"/>
      <c r="AH63" s="20"/>
      <c r="AI63" s="5"/>
      <c r="AJ63" s="20"/>
      <c r="AK63" s="5"/>
      <c r="AL63" s="20"/>
      <c r="AM63" s="5"/>
      <c r="AN63" s="20"/>
      <c r="AO63" s="5"/>
      <c r="AP63" s="20"/>
      <c r="AQ63" s="5"/>
      <c r="AR63" s="20"/>
      <c r="AS63" s="5"/>
      <c r="AT63" s="20"/>
      <c r="AU63" s="5"/>
      <c r="AV63" s="20"/>
      <c r="AW63" s="5"/>
      <c r="AX63" s="20"/>
      <c r="AY63" s="5"/>
      <c r="AZ63" s="20"/>
      <c r="BA63" s="5"/>
      <c r="BB63" s="20"/>
      <c r="BC63" s="5"/>
      <c r="BD63" s="20"/>
      <c r="BE63" s="5"/>
      <c r="BF63" s="20"/>
      <c r="BG63" s="5"/>
      <c r="BH63" s="20"/>
      <c r="BI63" s="5"/>
      <c r="BJ63" s="20"/>
      <c r="BK63" s="5"/>
      <c r="BL63" s="20"/>
      <c r="BM63" s="5"/>
      <c r="BN63" s="21"/>
      <c r="BO63" s="25">
        <f t="shared" si="10"/>
        <v>0</v>
      </c>
      <c r="BP63" s="25" t="e">
        <f t="shared" si="11"/>
        <v>#DIV/0!</v>
      </c>
      <c r="BQ63" s="25">
        <f t="shared" si="12"/>
        <v>0</v>
      </c>
    </row>
    <row r="64" spans="1:69" s="43" customFormat="1">
      <c r="A64" s="47">
        <f>A36</f>
        <v>100</v>
      </c>
      <c r="B64" s="41">
        <f t="shared" si="13"/>
        <v>1</v>
      </c>
      <c r="C64" s="53"/>
      <c r="D64" s="54"/>
      <c r="E64" s="55"/>
      <c r="F64" s="54"/>
      <c r="G64" s="55"/>
      <c r="H64" s="54"/>
      <c r="I64" s="55"/>
      <c r="J64" s="54"/>
      <c r="K64" s="55"/>
      <c r="L64" s="54"/>
      <c r="M64" s="55"/>
      <c r="N64" s="54"/>
      <c r="O64" s="55"/>
      <c r="P64" s="54"/>
      <c r="Q64" s="55"/>
      <c r="R64" s="54"/>
      <c r="S64" s="55"/>
      <c r="T64" s="54"/>
      <c r="U64" s="55"/>
      <c r="V64" s="54"/>
      <c r="W64" s="55"/>
      <c r="X64" s="54"/>
      <c r="Y64" s="55"/>
      <c r="Z64" s="54"/>
      <c r="AA64" s="55"/>
      <c r="AB64" s="54"/>
      <c r="AC64" s="55"/>
      <c r="AD64" s="54"/>
      <c r="AE64" s="55"/>
      <c r="AF64" s="54"/>
      <c r="AG64" s="55"/>
      <c r="AH64" s="54"/>
      <c r="AI64" s="55"/>
      <c r="AJ64" s="54"/>
      <c r="AK64" s="55"/>
      <c r="AL64" s="54"/>
      <c r="AM64" s="55"/>
      <c r="AN64" s="54"/>
      <c r="AO64" s="55"/>
      <c r="AP64" s="54"/>
      <c r="AQ64" s="55"/>
      <c r="AR64" s="54"/>
      <c r="AS64" s="55"/>
      <c r="AT64" s="54"/>
      <c r="AU64" s="55"/>
      <c r="AV64" s="54"/>
      <c r="AW64" s="55"/>
      <c r="AX64" s="54"/>
      <c r="AY64" s="55"/>
      <c r="AZ64" s="54"/>
      <c r="BA64" s="55"/>
      <c r="BB64" s="54"/>
      <c r="BC64" s="55"/>
      <c r="BD64" s="54"/>
      <c r="BE64" s="55"/>
      <c r="BF64" s="54"/>
      <c r="BG64" s="55"/>
      <c r="BH64" s="54"/>
      <c r="BI64" s="55"/>
      <c r="BJ64" s="54"/>
      <c r="BK64" s="55"/>
      <c r="BL64" s="54"/>
      <c r="BM64" s="55"/>
      <c r="BN64" s="52"/>
      <c r="BO64" s="42">
        <f t="shared" si="10"/>
        <v>0</v>
      </c>
      <c r="BP64" s="42" t="e">
        <f t="shared" si="11"/>
        <v>#DIV/0!</v>
      </c>
      <c r="BQ64" s="42">
        <f t="shared" si="12"/>
        <v>0</v>
      </c>
    </row>
    <row r="65" spans="1:69">
      <c r="A65" s="47">
        <f>A37</f>
        <v>100</v>
      </c>
      <c r="B65" s="30">
        <f t="shared" si="13"/>
        <v>2</v>
      </c>
      <c r="C65" s="19"/>
      <c r="D65" s="20"/>
      <c r="E65" s="5"/>
      <c r="F65" s="20"/>
      <c r="G65" s="5"/>
      <c r="H65" s="20"/>
      <c r="I65" s="5"/>
      <c r="J65" s="20"/>
      <c r="K65" s="5"/>
      <c r="L65" s="20"/>
      <c r="M65" s="5"/>
      <c r="N65" s="20"/>
      <c r="O65" s="5"/>
      <c r="P65" s="20"/>
      <c r="Q65" s="5"/>
      <c r="R65" s="20"/>
      <c r="S65" s="5"/>
      <c r="T65" s="20"/>
      <c r="U65" s="5"/>
      <c r="V65" s="20"/>
      <c r="W65" s="5"/>
      <c r="X65" s="20"/>
      <c r="Y65" s="5"/>
      <c r="Z65" s="20"/>
      <c r="AA65" s="5"/>
      <c r="AB65" s="20"/>
      <c r="AC65" s="5"/>
      <c r="AD65" s="20"/>
      <c r="AE65" s="5"/>
      <c r="AF65" s="20"/>
      <c r="AG65" s="5"/>
      <c r="AH65" s="20"/>
      <c r="AI65" s="5"/>
      <c r="AJ65" s="20"/>
      <c r="AK65" s="5"/>
      <c r="AL65" s="20"/>
      <c r="AM65" s="5"/>
      <c r="AN65" s="20"/>
      <c r="AO65" s="5"/>
      <c r="AP65" s="20"/>
      <c r="AQ65" s="5"/>
      <c r="AR65" s="20"/>
      <c r="AS65" s="5"/>
      <c r="AT65" s="20"/>
      <c r="AU65" s="5"/>
      <c r="AV65" s="20"/>
      <c r="AW65" s="5"/>
      <c r="AX65" s="20"/>
      <c r="AY65" s="5"/>
      <c r="AZ65" s="20"/>
      <c r="BA65" s="5"/>
      <c r="BB65" s="20"/>
      <c r="BC65" s="5"/>
      <c r="BD65" s="20"/>
      <c r="BE65" s="5"/>
      <c r="BF65" s="20"/>
      <c r="BG65" s="5"/>
      <c r="BH65" s="20"/>
      <c r="BI65" s="5"/>
      <c r="BJ65" s="20"/>
      <c r="BK65" s="5"/>
      <c r="BL65" s="20"/>
      <c r="BM65" s="5"/>
      <c r="BN65" s="21"/>
      <c r="BO65" s="25">
        <f t="shared" si="10"/>
        <v>0</v>
      </c>
      <c r="BP65" s="25" t="e">
        <f t="shared" si="11"/>
        <v>#DIV/0!</v>
      </c>
      <c r="BQ65" s="25">
        <f t="shared" si="12"/>
        <v>0</v>
      </c>
    </row>
    <row r="66" spans="1:69">
      <c r="A66" s="47">
        <f>A38</f>
        <v>100</v>
      </c>
      <c r="B66" s="30">
        <f t="shared" si="13"/>
        <v>3</v>
      </c>
      <c r="C66" s="19"/>
      <c r="D66" s="20"/>
      <c r="E66" s="5"/>
      <c r="F66" s="20"/>
      <c r="G66" s="5"/>
      <c r="H66" s="20"/>
      <c r="I66" s="5"/>
      <c r="J66" s="20"/>
      <c r="K66" s="5"/>
      <c r="L66" s="20"/>
      <c r="M66" s="5"/>
      <c r="N66" s="20"/>
      <c r="O66" s="5"/>
      <c r="P66" s="20"/>
      <c r="Q66" s="5"/>
      <c r="R66" s="20"/>
      <c r="S66" s="5"/>
      <c r="T66" s="20"/>
      <c r="U66" s="5"/>
      <c r="V66" s="20"/>
      <c r="W66" s="5"/>
      <c r="X66" s="20"/>
      <c r="Y66" s="5"/>
      <c r="Z66" s="20"/>
      <c r="AA66" s="5"/>
      <c r="AB66" s="20"/>
      <c r="AC66" s="5"/>
      <c r="AD66" s="20"/>
      <c r="AE66" s="5"/>
      <c r="AF66" s="20"/>
      <c r="AG66" s="5"/>
      <c r="AH66" s="20"/>
      <c r="AI66" s="5"/>
      <c r="AJ66" s="20"/>
      <c r="AK66" s="5"/>
      <c r="AL66" s="20"/>
      <c r="AM66" s="5"/>
      <c r="AN66" s="20"/>
      <c r="AO66" s="5"/>
      <c r="AP66" s="20"/>
      <c r="AQ66" s="5"/>
      <c r="AR66" s="20"/>
      <c r="AS66" s="5"/>
      <c r="AT66" s="20"/>
      <c r="AU66" s="5"/>
      <c r="AV66" s="20"/>
      <c r="AW66" s="5"/>
      <c r="AX66" s="20"/>
      <c r="AY66" s="5"/>
      <c r="AZ66" s="20"/>
      <c r="BA66" s="5"/>
      <c r="BB66" s="20"/>
      <c r="BC66" s="5"/>
      <c r="BD66" s="20"/>
      <c r="BE66" s="5"/>
      <c r="BF66" s="20"/>
      <c r="BG66" s="5"/>
      <c r="BH66" s="20"/>
      <c r="BI66" s="5"/>
      <c r="BJ66" s="20"/>
      <c r="BK66" s="5"/>
      <c r="BL66" s="20"/>
      <c r="BM66" s="5"/>
      <c r="BN66" s="21"/>
      <c r="BO66" s="25">
        <f t="shared" si="10"/>
        <v>0</v>
      </c>
      <c r="BP66" s="25" t="e">
        <f t="shared" si="11"/>
        <v>#DIV/0!</v>
      </c>
      <c r="BQ66" s="25">
        <f t="shared" si="12"/>
        <v>0</v>
      </c>
    </row>
    <row r="67" spans="1:69">
      <c r="A67" s="47">
        <f>A39</f>
        <v>100</v>
      </c>
      <c r="B67" s="30">
        <f t="shared" si="13"/>
        <v>5</v>
      </c>
      <c r="C67" s="19"/>
      <c r="D67" s="20"/>
      <c r="E67" s="5"/>
      <c r="F67" s="20"/>
      <c r="G67" s="5"/>
      <c r="H67" s="20"/>
      <c r="I67" s="5"/>
      <c r="J67" s="20"/>
      <c r="K67" s="5"/>
      <c r="L67" s="20"/>
      <c r="M67" s="5"/>
      <c r="N67" s="20"/>
      <c r="O67" s="5"/>
      <c r="P67" s="20"/>
      <c r="Q67" s="5"/>
      <c r="R67" s="20"/>
      <c r="S67" s="5"/>
      <c r="T67" s="20"/>
      <c r="U67" s="5"/>
      <c r="V67" s="20"/>
      <c r="W67" s="5"/>
      <c r="X67" s="20"/>
      <c r="Y67" s="5"/>
      <c r="Z67" s="20"/>
      <c r="AA67" s="5"/>
      <c r="AB67" s="20"/>
      <c r="AC67" s="5"/>
      <c r="AD67" s="20"/>
      <c r="AE67" s="5"/>
      <c r="AF67" s="20"/>
      <c r="AG67" s="5"/>
      <c r="AH67" s="20"/>
      <c r="AI67" s="5"/>
      <c r="AJ67" s="20"/>
      <c r="AK67" s="5"/>
      <c r="AL67" s="20"/>
      <c r="AM67" s="5"/>
      <c r="AN67" s="20"/>
      <c r="AO67" s="5"/>
      <c r="AP67" s="20"/>
      <c r="AQ67" s="5"/>
      <c r="AR67" s="20"/>
      <c r="AS67" s="5"/>
      <c r="AT67" s="20"/>
      <c r="AU67" s="5"/>
      <c r="AV67" s="20"/>
      <c r="AW67" s="5"/>
      <c r="AX67" s="20"/>
      <c r="AY67" s="5"/>
      <c r="AZ67" s="20"/>
      <c r="BA67" s="5"/>
      <c r="BB67" s="20"/>
      <c r="BC67" s="5"/>
      <c r="BD67" s="20"/>
      <c r="BE67" s="5"/>
      <c r="BF67" s="20"/>
      <c r="BG67" s="5"/>
      <c r="BH67" s="20"/>
      <c r="BI67" s="5"/>
      <c r="BJ67" s="20"/>
      <c r="BK67" s="5"/>
      <c r="BL67" s="20"/>
      <c r="BM67" s="5"/>
      <c r="BN67" s="21"/>
      <c r="BO67" s="25">
        <f t="shared" si="10"/>
        <v>0</v>
      </c>
      <c r="BP67" s="25" t="e">
        <f t="shared" si="11"/>
        <v>#DIV/0!</v>
      </c>
      <c r="BQ67" s="25">
        <f t="shared" si="12"/>
        <v>0</v>
      </c>
    </row>
    <row r="68" spans="1:69">
      <c r="A68" s="47">
        <f>A40</f>
        <v>100</v>
      </c>
      <c r="B68" s="30">
        <v>7</v>
      </c>
      <c r="C68" s="19"/>
      <c r="D68" s="20"/>
      <c r="E68" s="5"/>
      <c r="F68" s="20"/>
      <c r="G68" s="5"/>
      <c r="H68" s="20"/>
      <c r="I68" s="5"/>
      <c r="J68" s="20"/>
      <c r="K68" s="5"/>
      <c r="L68" s="20"/>
      <c r="M68" s="5"/>
      <c r="N68" s="20"/>
      <c r="O68" s="5"/>
      <c r="P68" s="20"/>
      <c r="Q68" s="5"/>
      <c r="R68" s="20"/>
      <c r="S68" s="5"/>
      <c r="T68" s="20"/>
      <c r="U68" s="5"/>
      <c r="V68" s="20"/>
      <c r="W68" s="5"/>
      <c r="X68" s="20"/>
      <c r="Y68" s="5"/>
      <c r="Z68" s="20"/>
      <c r="AA68" s="5"/>
      <c r="AB68" s="20"/>
      <c r="AC68" s="5"/>
      <c r="AD68" s="20"/>
      <c r="AE68" s="5"/>
      <c r="AF68" s="20"/>
      <c r="AG68" s="5"/>
      <c r="AH68" s="20"/>
      <c r="AI68" s="5"/>
      <c r="AJ68" s="20"/>
      <c r="AK68" s="5"/>
      <c r="AL68" s="20"/>
      <c r="AM68" s="5"/>
      <c r="AN68" s="20"/>
      <c r="AO68" s="5"/>
      <c r="AP68" s="20"/>
      <c r="AQ68" s="5"/>
      <c r="AR68" s="20"/>
      <c r="AS68" s="5"/>
      <c r="AT68" s="20"/>
      <c r="AU68" s="5"/>
      <c r="AV68" s="20"/>
      <c r="AW68" s="5"/>
      <c r="AX68" s="20"/>
      <c r="AY68" s="5"/>
      <c r="AZ68" s="20"/>
      <c r="BA68" s="5"/>
      <c r="BB68" s="20"/>
      <c r="BC68" s="5"/>
      <c r="BD68" s="20"/>
      <c r="BE68" s="5"/>
      <c r="BF68" s="20"/>
      <c r="BG68" s="5"/>
      <c r="BH68" s="20"/>
      <c r="BI68" s="5"/>
      <c r="BJ68" s="20"/>
      <c r="BK68" s="5"/>
      <c r="BL68" s="20"/>
      <c r="BM68" s="5"/>
      <c r="BN68" s="21"/>
      <c r="BO68" s="25">
        <f t="shared" si="10"/>
        <v>0</v>
      </c>
      <c r="BP68" s="25" t="e">
        <f t="shared" si="11"/>
        <v>#DIV/0!</v>
      </c>
      <c r="BQ68" s="25">
        <f t="shared" si="12"/>
        <v>0</v>
      </c>
    </row>
    <row r="69" spans="1:69">
      <c r="D69" s="5"/>
      <c r="E69" s="5"/>
      <c r="F69" s="5"/>
      <c r="G69" s="5"/>
      <c r="H69" s="5"/>
      <c r="I69" s="5"/>
      <c r="J69" s="5"/>
      <c r="K69" s="5"/>
      <c r="L69" s="5"/>
      <c r="M69" s="5"/>
    </row>
    <row r="70" spans="1:69" ht="30">
      <c r="A70" s="46" t="s">
        <v>34</v>
      </c>
      <c r="B70" s="26" t="s">
        <v>104</v>
      </c>
      <c r="C70" s="27" t="str">
        <f>C14</f>
        <v>Part 1 Fwd</v>
      </c>
      <c r="D70" s="28" t="str">
        <f>D14</f>
        <v>Part 1 Rev</v>
      </c>
      <c r="E70" s="27" t="str">
        <f>E14</f>
        <v>Part 2 Fwd</v>
      </c>
      <c r="F70" s="28" t="str">
        <f>F14</f>
        <v>Part 2 Rev</v>
      </c>
      <c r="G70" s="27" t="str">
        <f>G14</f>
        <v>Part 3 Fwd</v>
      </c>
      <c r="H70" s="28" t="str">
        <f>H14</f>
        <v>Part 3 Rev</v>
      </c>
      <c r="I70" s="27" t="str">
        <f>I14</f>
        <v>Part 4 Fwd</v>
      </c>
      <c r="J70" s="28" t="str">
        <f>J14</f>
        <v>Part 4 Rev</v>
      </c>
      <c r="K70" s="27" t="str">
        <f>K14</f>
        <v>Part 5 Fwd</v>
      </c>
      <c r="L70" s="28" t="str">
        <f>L14</f>
        <v>Part 5 Rev</v>
      </c>
      <c r="M70" s="27" t="str">
        <f>M14</f>
        <v>Part 6 Fwd</v>
      </c>
      <c r="N70" s="28" t="str">
        <f>N14</f>
        <v>Part 6 Rev</v>
      </c>
      <c r="O70" s="27" t="str">
        <f>O14</f>
        <v>Part 7 Fwd</v>
      </c>
      <c r="P70" s="28" t="str">
        <f>P14</f>
        <v>Part 7 Rev</v>
      </c>
      <c r="Q70" s="27" t="str">
        <f>Q14</f>
        <v>Part 8 Fwd</v>
      </c>
      <c r="R70" s="28" t="str">
        <f>R14</f>
        <v>Part 8 Rev</v>
      </c>
      <c r="S70" s="27" t="str">
        <f>S14</f>
        <v>Part 9 Fwd</v>
      </c>
      <c r="T70" s="28" t="str">
        <f>T14</f>
        <v>Part 9 Rev</v>
      </c>
      <c r="U70" s="27" t="str">
        <f>U14</f>
        <v>Part 10 Fwd</v>
      </c>
      <c r="V70" s="28" t="str">
        <f>V14</f>
        <v>Part 10 Rev</v>
      </c>
      <c r="W70" s="27" t="str">
        <f>W14</f>
        <v>Part 11 Fwd</v>
      </c>
      <c r="X70" s="28" t="str">
        <f>X14</f>
        <v>Part 11 Rev</v>
      </c>
      <c r="Y70" s="27" t="str">
        <f>Y14</f>
        <v>Part 12 Fwd</v>
      </c>
      <c r="Z70" s="28" t="str">
        <f>Z14</f>
        <v>Part 12 Rev</v>
      </c>
      <c r="AA70" s="27" t="str">
        <f>AA14</f>
        <v>Part 13 Fwd</v>
      </c>
      <c r="AB70" s="28" t="str">
        <f>AB14</f>
        <v>Part 13 Rev</v>
      </c>
      <c r="AC70" s="27" t="str">
        <f>AC14</f>
        <v>Part 14 Fwd</v>
      </c>
      <c r="AD70" s="28" t="str">
        <f>AD14</f>
        <v>Part 14 Rev</v>
      </c>
      <c r="AE70" s="27" t="str">
        <f>AE14</f>
        <v>Part 15 Fwd</v>
      </c>
      <c r="AF70" s="28" t="str">
        <f>AF14</f>
        <v>Part 15 Rev</v>
      </c>
      <c r="AG70" s="27" t="str">
        <f>AG14</f>
        <v>Part 16 Fwd</v>
      </c>
      <c r="AH70" s="28" t="str">
        <f>AH14</f>
        <v>Part 16 Rev</v>
      </c>
      <c r="AI70" s="27" t="str">
        <f>AI14</f>
        <v>Part 17 Fwd</v>
      </c>
      <c r="AJ70" s="28" t="str">
        <f>AJ14</f>
        <v>Part 17 Rev</v>
      </c>
      <c r="AK70" s="27" t="str">
        <f>AK14</f>
        <v>Part 18 Fwd</v>
      </c>
      <c r="AL70" s="28" t="str">
        <f>AL14</f>
        <v>Part 18 Rev</v>
      </c>
      <c r="AM70" s="27" t="str">
        <f>AM14</f>
        <v>Part 19 Fwd</v>
      </c>
      <c r="AN70" s="28" t="str">
        <f>AN14</f>
        <v>Part 19 Rev</v>
      </c>
      <c r="AO70" s="27" t="str">
        <f>AO14</f>
        <v>Part 20 Fwd</v>
      </c>
      <c r="AP70" s="28" t="str">
        <f>AP14</f>
        <v>Part 20 Rev</v>
      </c>
      <c r="AQ70" s="27" t="str">
        <f>AQ14</f>
        <v>Part 21 Fwd</v>
      </c>
      <c r="AR70" s="28" t="str">
        <f>AR14</f>
        <v>Part 21 Rev</v>
      </c>
      <c r="AS70" s="27" t="str">
        <f>AS14</f>
        <v>Part 22 Fwd</v>
      </c>
      <c r="AT70" s="28" t="str">
        <f>AT14</f>
        <v>Part 22 Rev</v>
      </c>
      <c r="AU70" s="27" t="str">
        <f>AU14</f>
        <v>Part 23 Fwd</v>
      </c>
      <c r="AV70" s="28" t="str">
        <f>AV14</f>
        <v>Part 23 Rev</v>
      </c>
      <c r="AW70" s="27" t="str">
        <f>AW14</f>
        <v>Part 24 Fwd</v>
      </c>
      <c r="AX70" s="28" t="str">
        <f>AX14</f>
        <v>Part 24 Rev</v>
      </c>
      <c r="AY70" s="27" t="str">
        <f>AY14</f>
        <v>Part 25 Fwd</v>
      </c>
      <c r="AZ70" s="28" t="str">
        <f>AZ14</f>
        <v>Part 25 Rev</v>
      </c>
      <c r="BA70" s="27" t="str">
        <f>BA14</f>
        <v>Part 26 Fwd</v>
      </c>
      <c r="BB70" s="28" t="str">
        <f>BB14</f>
        <v>Part 26 Rev</v>
      </c>
      <c r="BC70" s="27" t="str">
        <f>BC14</f>
        <v>Part 27 Fwd</v>
      </c>
      <c r="BD70" s="28" t="str">
        <f>BD14</f>
        <v>Part 27 Rev</v>
      </c>
      <c r="BE70" s="27" t="str">
        <f>BE14</f>
        <v>Part 28 Fwd</v>
      </c>
      <c r="BF70" s="28" t="str">
        <f>BF14</f>
        <v>Part 28 Rev</v>
      </c>
      <c r="BG70" s="27" t="str">
        <f>BG14</f>
        <v>Part 29 Fwd</v>
      </c>
      <c r="BH70" s="28" t="str">
        <f>BH14</f>
        <v>Part 29 Rev</v>
      </c>
      <c r="BI70" s="27" t="str">
        <f>BI14</f>
        <v>Part 30 Fwd</v>
      </c>
      <c r="BJ70" s="28" t="str">
        <f>BJ14</f>
        <v>Part 30 Rev</v>
      </c>
      <c r="BK70" s="27" t="str">
        <f>BK14</f>
        <v>Part 31 Fwd</v>
      </c>
      <c r="BL70" s="28" t="str">
        <f>BL14</f>
        <v>Part 31 Rev</v>
      </c>
      <c r="BM70" s="27" t="str">
        <f>BM14</f>
        <v>Part 32 Fwd</v>
      </c>
      <c r="BN70" s="28" t="str">
        <f>BN14</f>
        <v>Part 32 Rev</v>
      </c>
      <c r="BO70" s="24" t="s">
        <v>100</v>
      </c>
      <c r="BP70" s="24" t="s">
        <v>101</v>
      </c>
      <c r="BQ70" s="24" t="s">
        <v>102</v>
      </c>
    </row>
    <row r="71" spans="1:69" ht="13.5" customHeight="1">
      <c r="A71" s="63">
        <v>1000</v>
      </c>
      <c r="B71" s="62">
        <f>$C$8</f>
        <v>0</v>
      </c>
      <c r="C71" s="64">
        <f>IF(ISERROR((C43-C15)/C15),0,((C43-C15)/C15))</f>
        <v>0</v>
      </c>
      <c r="D71" s="59">
        <f>IF(ISERROR((D43-D15)/D15),0,((D43-D15)/D15))</f>
        <v>0</v>
      </c>
      <c r="E71" s="65">
        <f>IF(ISERROR((E43-E15)/E15),0,((E43-E15)/E15))</f>
        <v>0</v>
      </c>
      <c r="F71" s="59">
        <f>IF(ISERROR((F43-F15)/F15),0,((F43-F15)/F15))</f>
        <v>0</v>
      </c>
      <c r="G71" s="65">
        <f>IF(ISERROR((G43-G15)/G15),0,((G43-G15)/G15))</f>
        <v>0</v>
      </c>
      <c r="H71" s="59">
        <f>IF(ISERROR((H43-H15)/H15),0,((H43-H15)/H15))</f>
        <v>0</v>
      </c>
      <c r="I71" s="65">
        <f>IF(ISERROR((I43-I15)/I15),0,((I43-I15)/I15))</f>
        <v>0</v>
      </c>
      <c r="J71" s="59">
        <f>IF(ISERROR((J43-J15)/J15),0,((J43-J15)/J15))</f>
        <v>0</v>
      </c>
      <c r="K71" s="65">
        <f>IF(ISERROR((K43-K15)/K15),0,((K43-K15)/K15))</f>
        <v>0</v>
      </c>
      <c r="L71" s="59">
        <f>IF(ISERROR((L43-L15)/L15),0,((L43-L15)/L15))</f>
        <v>0</v>
      </c>
      <c r="M71" s="65">
        <f>IF(ISERROR((M43-M15)/M15),0,((M43-M15)/M15))</f>
        <v>0</v>
      </c>
      <c r="N71" s="59">
        <f>IF(ISERROR((N43-N15)/N15),0,((N43-N15)/N15))</f>
        <v>0</v>
      </c>
      <c r="O71" s="65">
        <f>IF(ISERROR((O43-O15)/O15),0,((O43-O15)/O15))</f>
        <v>0</v>
      </c>
      <c r="P71" s="59">
        <f>IF(ISERROR((P43-P15)/P15),0,((P43-P15)/P15))</f>
        <v>0</v>
      </c>
      <c r="Q71" s="65">
        <f>IF(ISERROR((Q43-Q15)/Q15),0,((Q43-Q15)/Q15))</f>
        <v>0</v>
      </c>
      <c r="R71" s="59">
        <f>IF(ISERROR((R43-R15)/R15),0,((R43-R15)/R15))</f>
        <v>0</v>
      </c>
      <c r="S71" s="65">
        <f>IF(ISERROR((S43-S15)/S15),0,((S43-S15)/S15))</f>
        <v>0</v>
      </c>
      <c r="T71" s="59">
        <f>IF(ISERROR((T43-T15)/T15),0,((T43-T15)/T15))</f>
        <v>0</v>
      </c>
      <c r="U71" s="65">
        <f>IF(ISERROR((U43-U15)/U15),0,((U43-U15)/U15))</f>
        <v>0</v>
      </c>
      <c r="V71" s="59">
        <f>IF(ISERROR((V43-V15)/V15),0,((V43-V15)/V15))</f>
        <v>0</v>
      </c>
      <c r="W71" s="65">
        <f>IF(ISERROR((W43-W15)/W15),0,((W43-W15)/W15))</f>
        <v>0</v>
      </c>
      <c r="X71" s="59">
        <f>IF(ISERROR((X43-X15)/X15),0,((X43-X15)/X15))</f>
        <v>0</v>
      </c>
      <c r="Y71" s="65">
        <f>IF(ISERROR((Y43-Y15)/Y15),0,((Y43-Y15)/Y15))</f>
        <v>0</v>
      </c>
      <c r="Z71" s="59">
        <f>IF(ISERROR((Z43-Z15)/Z15),0,((Z43-Z15)/Z15))</f>
        <v>0</v>
      </c>
      <c r="AA71" s="65">
        <f>IF(ISERROR((AA43-AA15)/AA15),0,((AA43-AA15)/AA15))</f>
        <v>0</v>
      </c>
      <c r="AB71" s="59">
        <f>IF(ISERROR((AB43-AB15)/AB15),0,((AB43-AB15)/AB15))</f>
        <v>0</v>
      </c>
      <c r="AC71" s="65">
        <f>IF(ISERROR((AC43-AC15)/AC15),0,((AC43-AC15)/AC15))</f>
        <v>0</v>
      </c>
      <c r="AD71" s="59">
        <f>IF(ISERROR((AD43-AD15)/AD15),0,((AD43-AD15)/AD15))</f>
        <v>0</v>
      </c>
      <c r="AE71" s="65">
        <f>IF(ISERROR((AE43-AE15)/AE15),0,((AE43-AE15)/AE15))</f>
        <v>0</v>
      </c>
      <c r="AF71" s="59">
        <f>IF(ISERROR((AF43-AF15)/AF15),0,((AF43-AF15)/AF15))</f>
        <v>0</v>
      </c>
      <c r="AG71" s="65">
        <f>IF(ISERROR((AG43-AG15)/AG15),0,((AG43-AG15)/AG15))</f>
        <v>0</v>
      </c>
      <c r="AH71" s="59">
        <f>IF(ISERROR((AH43-AH15)/AH15),0,((AH43-AH15)/AH15))</f>
        <v>0</v>
      </c>
      <c r="AI71" s="65">
        <f>IF(ISERROR((AI43-AI15)/AI15),0,((AI43-AI15)/AI15))</f>
        <v>0</v>
      </c>
      <c r="AJ71" s="59">
        <f>IF(ISERROR((AJ43-AJ15)/AJ15),0,((AJ43-AJ15)/AJ15))</f>
        <v>0</v>
      </c>
      <c r="AK71" s="65">
        <f>IF(ISERROR((AK43-AK15)/AK15),0,((AK43-AK15)/AK15))</f>
        <v>0</v>
      </c>
      <c r="AL71" s="59">
        <f>IF(ISERROR((AL43-AL15)/AL15),0,((AL43-AL15)/AL15))</f>
        <v>0</v>
      </c>
      <c r="AM71" s="65">
        <f>IF(ISERROR((AM43-AM15)/AM15),0,((AM43-AM15)/AM15))</f>
        <v>0</v>
      </c>
      <c r="AN71" s="59">
        <f>IF(ISERROR((AN43-AN15)/AN15),0,((AN43-AN15)/AN15))</f>
        <v>0</v>
      </c>
      <c r="AO71" s="65">
        <f>IF(ISERROR((AO43-AO15)/AO15),0,((AO43-AO15)/AO15))</f>
        <v>0</v>
      </c>
      <c r="AP71" s="59">
        <f>IF(ISERROR((AP43-AP15)/AP15),0,((AP43-AP15)/AP15))</f>
        <v>0</v>
      </c>
      <c r="AQ71" s="65">
        <f>IF(ISERROR((AQ43-AQ15)/AQ15),0,((AQ43-AQ15)/AQ15))</f>
        <v>0</v>
      </c>
      <c r="AR71" s="59">
        <f>IF(ISERROR((AR43-AR15)/AR15),0,((AR43-AR15)/AR15))</f>
        <v>0</v>
      </c>
      <c r="AS71" s="65">
        <f>IF(ISERROR((AS43-AS15)/AS15),0,((AS43-AS15)/AS15))</f>
        <v>0</v>
      </c>
      <c r="AT71" s="59">
        <f>IF(ISERROR((AT43-AT15)/AT15),0,((AT43-AT15)/AT15))</f>
        <v>0</v>
      </c>
      <c r="AU71" s="65">
        <f>IF(ISERROR((AU43-AU15)/AU15),0,((AU43-AU15)/AU15))</f>
        <v>0</v>
      </c>
      <c r="AV71" s="59">
        <f>IF(ISERROR((AV43-AV15)/AV15),0,((AV43-AV15)/AV15))</f>
        <v>0</v>
      </c>
      <c r="AW71" s="65">
        <f>IF(ISERROR((AW43-AW15)/AW15),0,((AW43-AW15)/AW15))</f>
        <v>0</v>
      </c>
      <c r="AX71" s="59">
        <f>IF(ISERROR((AX43-AX15)/AX15),0,((AX43-AX15)/AX15))</f>
        <v>0</v>
      </c>
      <c r="AY71" s="65">
        <f>IF(ISERROR((AY43-AY15)/AY15),0,((AY43-AY15)/AY15))</f>
        <v>0</v>
      </c>
      <c r="AZ71" s="59">
        <f>IF(ISERROR((AZ43-AZ15)/AZ15),0,((AZ43-AZ15)/AZ15))</f>
        <v>0</v>
      </c>
      <c r="BA71" s="65">
        <f>IF(ISERROR((BA43-BA15)/BA15),0,((BA43-BA15)/BA15))</f>
        <v>0</v>
      </c>
      <c r="BB71" s="59">
        <f>IF(ISERROR((BB43-BB15)/BB15),0,((BB43-BB15)/BB15))</f>
        <v>0</v>
      </c>
      <c r="BC71" s="65">
        <f>IF(ISERROR((BC43-BC15)/BC15),0,((BC43-BC15)/BC15))</f>
        <v>0</v>
      </c>
      <c r="BD71" s="59">
        <f>IF(ISERROR((BD43-BD15)/BD15),0,((BD43-BD15)/BD15))</f>
        <v>0</v>
      </c>
      <c r="BE71" s="65">
        <f>IF(ISERROR((BE43-BE15)/BE15),0,((BE43-BE15)/BE15))</f>
        <v>0</v>
      </c>
      <c r="BF71" s="59">
        <f>IF(ISERROR((BF43-BF15)/BF15),0,((BF43-BF15)/BF15))</f>
        <v>0</v>
      </c>
      <c r="BG71" s="65">
        <f>IF(ISERROR((BG43-BG15)/BG15),0,((BG43-BG15)/BG15))</f>
        <v>0</v>
      </c>
      <c r="BH71" s="59">
        <f>IF(ISERROR((BH43-BH15)/BH15),0,((BH43-BH15)/BH15))</f>
        <v>0</v>
      </c>
      <c r="BI71" s="65">
        <f>IF(ISERROR((BI43-BI15)/BI15),0,((BI43-BI15)/BI15))</f>
        <v>0</v>
      </c>
      <c r="BJ71" s="59">
        <f>IF(ISERROR((BJ43-BJ15)/BJ15),0,((BJ43-BJ15)/BJ15))</f>
        <v>0</v>
      </c>
      <c r="BK71" s="65">
        <f>IF(ISERROR((BK43-BK15)/BK15),0,((BK43-BK15)/BK15))</f>
        <v>0</v>
      </c>
      <c r="BL71" s="59">
        <f>IF(ISERROR((BL43-BL15)/BL15),0,((BL43-BL15)/BL15))</f>
        <v>0</v>
      </c>
      <c r="BM71" s="65">
        <f>IF(ISERROR((BM43-BM15)/BM15),0,((BM43-BM15)/BM15))</f>
        <v>0</v>
      </c>
      <c r="BN71" s="59">
        <f>IF(ISERROR((BN43-BN15)/BN15),0,((BN43-BN15)/BN15))</f>
        <v>0</v>
      </c>
      <c r="BO71" s="98">
        <f t="shared" ref="BO71" si="14">MIN(C71:BN71)</f>
        <v>0</v>
      </c>
      <c r="BP71" s="98">
        <f t="shared" ref="BP71" si="15">AVERAGE(C71:BN71)</f>
        <v>0</v>
      </c>
      <c r="BQ71" s="98">
        <f t="shared" ref="BQ71" si="16">MAX(C71:BN71)</f>
        <v>0</v>
      </c>
    </row>
    <row r="72" spans="1:69">
      <c r="A72" s="47">
        <f>A16</f>
        <v>2000</v>
      </c>
      <c r="B72" s="30">
        <v>1E-4</v>
      </c>
      <c r="C72" s="69">
        <f>IF(ISERROR((C44-C16)/C16),0,((C44-C16)/C16))</f>
        <v>0</v>
      </c>
      <c r="D72" s="60">
        <f>IF(ISERROR((D44-D16)/D16),0,((D44-D16)/D16))</f>
        <v>0</v>
      </c>
      <c r="E72" s="70">
        <f>IF(ISERROR((E44-E16)/E16),0,((E44-E16)/E16))</f>
        <v>0</v>
      </c>
      <c r="F72" s="60">
        <f>IF(ISERROR((F44-F16)/F16),0,((F44-F16)/F16))</f>
        <v>0</v>
      </c>
      <c r="G72" s="70">
        <f>IF(ISERROR((G44-G16)/G16),0,((G44-G16)/G16))</f>
        <v>0</v>
      </c>
      <c r="H72" s="60">
        <f>IF(ISERROR((H44-H16)/H16),0,((H44-H16)/H16))</f>
        <v>0</v>
      </c>
      <c r="I72" s="70">
        <f>IF(ISERROR((I44-I16)/I16),0,((I44-I16)/I16))</f>
        <v>0</v>
      </c>
      <c r="J72" s="60">
        <f>IF(ISERROR((J44-J16)/J16),0,((J44-J16)/J16))</f>
        <v>0</v>
      </c>
      <c r="K72" s="70">
        <f>IF(ISERROR((K44-K16)/K16),0,((K44-K16)/K16))</f>
        <v>0</v>
      </c>
      <c r="L72" s="60">
        <f>IF(ISERROR((L44-L16)/L16),0,((L44-L16)/L16))</f>
        <v>0</v>
      </c>
      <c r="M72" s="70">
        <f>IF(ISERROR((M44-M16)/M16),0,((M44-M16)/M16))</f>
        <v>0</v>
      </c>
      <c r="N72" s="60">
        <f>IF(ISERROR((N44-N16)/N16),0,((N44-N16)/N16))</f>
        <v>0</v>
      </c>
      <c r="O72" s="70">
        <f>IF(ISERROR((O44-O16)/O16),0,((O44-O16)/O16))</f>
        <v>0</v>
      </c>
      <c r="P72" s="60">
        <f>IF(ISERROR((P44-P16)/P16),0,((P44-P16)/P16))</f>
        <v>0</v>
      </c>
      <c r="Q72" s="70">
        <f>IF(ISERROR((Q44-Q16)/Q16),0,((Q44-Q16)/Q16))</f>
        <v>0</v>
      </c>
      <c r="R72" s="60">
        <f>IF(ISERROR((R44-R16)/R16),0,((R44-R16)/R16))</f>
        <v>0</v>
      </c>
      <c r="S72" s="70">
        <f>IF(ISERROR((S44-S16)/S16),0,((S44-S16)/S16))</f>
        <v>0</v>
      </c>
      <c r="T72" s="60">
        <f>IF(ISERROR((T44-T16)/T16),0,((T44-T16)/T16))</f>
        <v>0</v>
      </c>
      <c r="U72" s="70">
        <f>IF(ISERROR((U44-U16)/U16),0,((U44-U16)/U16))</f>
        <v>0</v>
      </c>
      <c r="V72" s="60">
        <f>IF(ISERROR((V44-V16)/V16),0,((V44-V16)/V16))</f>
        <v>0</v>
      </c>
      <c r="W72" s="70">
        <f>IF(ISERROR((W44-W16)/W16),0,((W44-W16)/W16))</f>
        <v>0</v>
      </c>
      <c r="X72" s="60">
        <f>IF(ISERROR((X44-X16)/X16),0,((X44-X16)/X16))</f>
        <v>0</v>
      </c>
      <c r="Y72" s="70">
        <f>IF(ISERROR((Y44-Y16)/Y16),0,((Y44-Y16)/Y16))</f>
        <v>0</v>
      </c>
      <c r="Z72" s="60">
        <f>IF(ISERROR((Z44-Z16)/Z16),0,((Z44-Z16)/Z16))</f>
        <v>0</v>
      </c>
      <c r="AA72" s="70">
        <f>IF(ISERROR((AA44-AA16)/AA16),0,((AA44-AA16)/AA16))</f>
        <v>0</v>
      </c>
      <c r="AB72" s="60">
        <f>IF(ISERROR((AB44-AB16)/AB16),0,((AB44-AB16)/AB16))</f>
        <v>0</v>
      </c>
      <c r="AC72" s="70">
        <f>IF(ISERROR((AC44-AC16)/AC16),0,((AC44-AC16)/AC16))</f>
        <v>0</v>
      </c>
      <c r="AD72" s="60">
        <f>IF(ISERROR((AD44-AD16)/AD16),0,((AD44-AD16)/AD16))</f>
        <v>0</v>
      </c>
      <c r="AE72" s="70">
        <f>IF(ISERROR((AE44-AE16)/AE16),0,((AE44-AE16)/AE16))</f>
        <v>0</v>
      </c>
      <c r="AF72" s="60">
        <f>IF(ISERROR((AF44-AF16)/AF16),0,((AF44-AF16)/AF16))</f>
        <v>0</v>
      </c>
      <c r="AG72" s="70">
        <f>IF(ISERROR((AG44-AG16)/AG16),0,((AG44-AG16)/AG16))</f>
        <v>0</v>
      </c>
      <c r="AH72" s="60">
        <f>IF(ISERROR((AH44-AH16)/AH16),0,((AH44-AH16)/AH16))</f>
        <v>0</v>
      </c>
      <c r="AI72" s="70">
        <f>IF(ISERROR((AI44-AI16)/AI16),0,((AI44-AI16)/AI16))</f>
        <v>0</v>
      </c>
      <c r="AJ72" s="60">
        <f>IF(ISERROR((AJ44-AJ16)/AJ16),0,((AJ44-AJ16)/AJ16))</f>
        <v>0</v>
      </c>
      <c r="AK72" s="70">
        <f>IF(ISERROR((AK44-AK16)/AK16),0,((AK44-AK16)/AK16))</f>
        <v>0</v>
      </c>
      <c r="AL72" s="60">
        <f>IF(ISERROR((AL44-AL16)/AL16),0,((AL44-AL16)/AL16))</f>
        <v>0</v>
      </c>
      <c r="AM72" s="70">
        <f>IF(ISERROR((AM44-AM16)/AM16),0,((AM44-AM16)/AM16))</f>
        <v>0</v>
      </c>
      <c r="AN72" s="60">
        <f>IF(ISERROR((AN44-AN16)/AN16),0,((AN44-AN16)/AN16))</f>
        <v>0</v>
      </c>
      <c r="AO72" s="70">
        <f>IF(ISERROR((AO44-AO16)/AO16),0,((AO44-AO16)/AO16))</f>
        <v>0</v>
      </c>
      <c r="AP72" s="60">
        <f>IF(ISERROR((AP44-AP16)/AP16),0,((AP44-AP16)/AP16))</f>
        <v>0</v>
      </c>
      <c r="AQ72" s="70">
        <f>IF(ISERROR((AQ44-AQ16)/AQ16),0,((AQ44-AQ16)/AQ16))</f>
        <v>0</v>
      </c>
      <c r="AR72" s="60">
        <f>IF(ISERROR((AR44-AR16)/AR16),0,((AR44-AR16)/AR16))</f>
        <v>0</v>
      </c>
      <c r="AS72" s="70">
        <f>IF(ISERROR((AS44-AS16)/AS16),0,((AS44-AS16)/AS16))</f>
        <v>0</v>
      </c>
      <c r="AT72" s="60">
        <f>IF(ISERROR((AT44-AT16)/AT16),0,((AT44-AT16)/AT16))</f>
        <v>0</v>
      </c>
      <c r="AU72" s="70">
        <f>IF(ISERROR((AU44-AU16)/AU16),0,((AU44-AU16)/AU16))</f>
        <v>0</v>
      </c>
      <c r="AV72" s="60">
        <f>IF(ISERROR((AV44-AV16)/AV16),0,((AV44-AV16)/AV16))</f>
        <v>0</v>
      </c>
      <c r="AW72" s="70">
        <f>IF(ISERROR((AW44-AW16)/AW16),0,((AW44-AW16)/AW16))</f>
        <v>0</v>
      </c>
      <c r="AX72" s="60">
        <f>IF(ISERROR((AX44-AX16)/AX16),0,((AX44-AX16)/AX16))</f>
        <v>0</v>
      </c>
      <c r="AY72" s="70">
        <f>IF(ISERROR((AY44-AY16)/AY16),0,((AY44-AY16)/AY16))</f>
        <v>0</v>
      </c>
      <c r="AZ72" s="60">
        <f>IF(ISERROR((AZ44-AZ16)/AZ16),0,((AZ44-AZ16)/AZ16))</f>
        <v>0</v>
      </c>
      <c r="BA72" s="70">
        <f>IF(ISERROR((BA44-BA16)/BA16),0,((BA44-BA16)/BA16))</f>
        <v>0</v>
      </c>
      <c r="BB72" s="60">
        <f>IF(ISERROR((BB44-BB16)/BB16),0,((BB44-BB16)/BB16))</f>
        <v>0</v>
      </c>
      <c r="BC72" s="70">
        <f>IF(ISERROR((BC44-BC16)/BC16),0,((BC44-BC16)/BC16))</f>
        <v>0</v>
      </c>
      <c r="BD72" s="60">
        <f>IF(ISERROR((BD44-BD16)/BD16),0,((BD44-BD16)/BD16))</f>
        <v>0</v>
      </c>
      <c r="BE72" s="70">
        <f>IF(ISERROR((BE44-BE16)/BE16),0,((BE44-BE16)/BE16))</f>
        <v>0</v>
      </c>
      <c r="BF72" s="60">
        <f>IF(ISERROR((BF44-BF16)/BF16),0,((BF44-BF16)/BF16))</f>
        <v>0</v>
      </c>
      <c r="BG72" s="70">
        <f>IF(ISERROR((BG44-BG16)/BG16),0,((BG44-BG16)/BG16))</f>
        <v>0</v>
      </c>
      <c r="BH72" s="60">
        <f>IF(ISERROR((BH44-BH16)/BH16),0,((BH44-BH16)/BH16))</f>
        <v>0</v>
      </c>
      <c r="BI72" s="70">
        <f>IF(ISERROR((BI44-BI16)/BI16),0,((BI44-BI16)/BI16))</f>
        <v>0</v>
      </c>
      <c r="BJ72" s="60">
        <f>IF(ISERROR((BJ44-BJ16)/BJ16),0,((BJ44-BJ16)/BJ16))</f>
        <v>0</v>
      </c>
      <c r="BK72" s="70">
        <f>IF(ISERROR((BK44-BK16)/BK16),0,((BK44-BK16)/BK16))</f>
        <v>0</v>
      </c>
      <c r="BL72" s="60">
        <f>IF(ISERROR((BL44-BL16)/BL16),0,((BL44-BL16)/BL16))</f>
        <v>0</v>
      </c>
      <c r="BM72" s="70">
        <f>IF(ISERROR((BM44-BM16)/BM16),0,((BM44-BM16)/BM16))</f>
        <v>0</v>
      </c>
      <c r="BN72" s="60">
        <f>IF(ISERROR((BN44-BN16)/BN16),0,((BN44-BN16)/BN16))</f>
        <v>0</v>
      </c>
      <c r="BO72" s="99">
        <f t="shared" ref="BO72:BO96" si="17">MIN(C72:BN72)</f>
        <v>0</v>
      </c>
      <c r="BP72" s="99">
        <f t="shared" ref="BP72:BP96" si="18">AVERAGE(C72:BN72)</f>
        <v>0</v>
      </c>
      <c r="BQ72" s="99">
        <f t="shared" ref="BQ72:BQ96" si="19">MAX(C72:BN72)</f>
        <v>0</v>
      </c>
    </row>
    <row r="73" spans="1:69">
      <c r="A73" s="47">
        <f>A17</f>
        <v>1500</v>
      </c>
      <c r="B73" s="30">
        <v>2.0000000000000001E-4</v>
      </c>
      <c r="C73" s="69">
        <f>IF(ISERROR((C45-C17)/C17),0,((C45-C17)/C17))</f>
        <v>0</v>
      </c>
      <c r="D73" s="60">
        <f>IF(ISERROR((D45-D17)/D17),0,((D45-D17)/D17))</f>
        <v>0</v>
      </c>
      <c r="E73" s="70">
        <f>IF(ISERROR((E45-E17)/E17),0,((E45-E17)/E17))</f>
        <v>0</v>
      </c>
      <c r="F73" s="60">
        <f>IF(ISERROR((F45-F17)/F17),0,((F45-F17)/F17))</f>
        <v>0</v>
      </c>
      <c r="G73" s="70">
        <f>IF(ISERROR((G45-G17)/G17),0,((G45-G17)/G17))</f>
        <v>0</v>
      </c>
      <c r="H73" s="60">
        <f>IF(ISERROR((H45-H17)/H17),0,((H45-H17)/H17))</f>
        <v>0</v>
      </c>
      <c r="I73" s="70">
        <f>IF(ISERROR((I45-I17)/I17),0,((I45-I17)/I17))</f>
        <v>0</v>
      </c>
      <c r="J73" s="60">
        <f>IF(ISERROR((J45-J17)/J17),0,((J45-J17)/J17))</f>
        <v>0</v>
      </c>
      <c r="K73" s="70">
        <f>IF(ISERROR((K45-K17)/K17),0,((K45-K17)/K17))</f>
        <v>0</v>
      </c>
      <c r="L73" s="60">
        <f>IF(ISERROR((L45-L17)/L17),0,((L45-L17)/L17))</f>
        <v>0</v>
      </c>
      <c r="M73" s="70">
        <f>IF(ISERROR((M45-M17)/M17),0,((M45-M17)/M17))</f>
        <v>0</v>
      </c>
      <c r="N73" s="60">
        <f>IF(ISERROR((N45-N17)/N17),0,((N45-N17)/N17))</f>
        <v>0</v>
      </c>
      <c r="O73" s="70">
        <f>IF(ISERROR((O45-O17)/O17),0,((O45-O17)/O17))</f>
        <v>0</v>
      </c>
      <c r="P73" s="60">
        <f>IF(ISERROR((P45-P17)/P17),0,((P45-P17)/P17))</f>
        <v>0</v>
      </c>
      <c r="Q73" s="70">
        <f>IF(ISERROR((Q45-Q17)/Q17),0,((Q45-Q17)/Q17))</f>
        <v>0</v>
      </c>
      <c r="R73" s="60">
        <f>IF(ISERROR((R45-R17)/R17),0,((R45-R17)/R17))</f>
        <v>0</v>
      </c>
      <c r="S73" s="70">
        <f>IF(ISERROR((S45-S17)/S17),0,((S45-S17)/S17))</f>
        <v>0</v>
      </c>
      <c r="T73" s="60">
        <f>IF(ISERROR((T45-T17)/T17),0,((T45-T17)/T17))</f>
        <v>0</v>
      </c>
      <c r="U73" s="70">
        <f>IF(ISERROR((U45-U17)/U17),0,((U45-U17)/U17))</f>
        <v>0</v>
      </c>
      <c r="V73" s="60">
        <f>IF(ISERROR((V45-V17)/V17),0,((V45-V17)/V17))</f>
        <v>0</v>
      </c>
      <c r="W73" s="70">
        <f>IF(ISERROR((W45-W17)/W17),0,((W45-W17)/W17))</f>
        <v>0</v>
      </c>
      <c r="X73" s="60">
        <f>IF(ISERROR((X45-X17)/X17),0,((X45-X17)/X17))</f>
        <v>0</v>
      </c>
      <c r="Y73" s="70">
        <f>IF(ISERROR((Y45-Y17)/Y17),0,((Y45-Y17)/Y17))</f>
        <v>0</v>
      </c>
      <c r="Z73" s="60">
        <f>IF(ISERROR((Z45-Z17)/Z17),0,((Z45-Z17)/Z17))</f>
        <v>0</v>
      </c>
      <c r="AA73" s="70">
        <f>IF(ISERROR((AA45-AA17)/AA17),0,((AA45-AA17)/AA17))</f>
        <v>0</v>
      </c>
      <c r="AB73" s="60">
        <f>IF(ISERROR((AB45-AB17)/AB17),0,((AB45-AB17)/AB17))</f>
        <v>0</v>
      </c>
      <c r="AC73" s="70">
        <f>IF(ISERROR((AC45-AC17)/AC17),0,((AC45-AC17)/AC17))</f>
        <v>0</v>
      </c>
      <c r="AD73" s="60">
        <f>IF(ISERROR((AD45-AD17)/AD17),0,((AD45-AD17)/AD17))</f>
        <v>0</v>
      </c>
      <c r="AE73" s="70">
        <f>IF(ISERROR((AE45-AE17)/AE17),0,((AE45-AE17)/AE17))</f>
        <v>0</v>
      </c>
      <c r="AF73" s="60">
        <f>IF(ISERROR((AF45-AF17)/AF17),0,((AF45-AF17)/AF17))</f>
        <v>0</v>
      </c>
      <c r="AG73" s="70">
        <f>IF(ISERROR((AG45-AG17)/AG17),0,((AG45-AG17)/AG17))</f>
        <v>0</v>
      </c>
      <c r="AH73" s="60">
        <f>IF(ISERROR((AH45-AH17)/AH17),0,((AH45-AH17)/AH17))</f>
        <v>0</v>
      </c>
      <c r="AI73" s="70">
        <f>IF(ISERROR((AI45-AI17)/AI17),0,((AI45-AI17)/AI17))</f>
        <v>0</v>
      </c>
      <c r="AJ73" s="60">
        <f>IF(ISERROR((AJ45-AJ17)/AJ17),0,((AJ45-AJ17)/AJ17))</f>
        <v>0</v>
      </c>
      <c r="AK73" s="70">
        <f>IF(ISERROR((AK45-AK17)/AK17),0,((AK45-AK17)/AK17))</f>
        <v>0</v>
      </c>
      <c r="AL73" s="60">
        <f>IF(ISERROR((AL45-AL17)/AL17),0,((AL45-AL17)/AL17))</f>
        <v>0</v>
      </c>
      <c r="AM73" s="70">
        <f>IF(ISERROR((AM45-AM17)/AM17),0,((AM45-AM17)/AM17))</f>
        <v>0</v>
      </c>
      <c r="AN73" s="60">
        <f>IF(ISERROR((AN45-AN17)/AN17),0,((AN45-AN17)/AN17))</f>
        <v>0</v>
      </c>
      <c r="AO73" s="70">
        <f>IF(ISERROR((AO45-AO17)/AO17),0,((AO45-AO17)/AO17))</f>
        <v>0</v>
      </c>
      <c r="AP73" s="60">
        <f>IF(ISERROR((AP45-AP17)/AP17),0,((AP45-AP17)/AP17))</f>
        <v>0</v>
      </c>
      <c r="AQ73" s="70">
        <f>IF(ISERROR((AQ45-AQ17)/AQ17),0,((AQ45-AQ17)/AQ17))</f>
        <v>0</v>
      </c>
      <c r="AR73" s="60">
        <f>IF(ISERROR((AR45-AR17)/AR17),0,((AR45-AR17)/AR17))</f>
        <v>0</v>
      </c>
      <c r="AS73" s="70">
        <f>IF(ISERROR((AS45-AS17)/AS17),0,((AS45-AS17)/AS17))</f>
        <v>0</v>
      </c>
      <c r="AT73" s="60">
        <f>IF(ISERROR((AT45-AT17)/AT17),0,((AT45-AT17)/AT17))</f>
        <v>0</v>
      </c>
      <c r="AU73" s="70">
        <f>IF(ISERROR((AU45-AU17)/AU17),0,((AU45-AU17)/AU17))</f>
        <v>0</v>
      </c>
      <c r="AV73" s="60">
        <f>IF(ISERROR((AV45-AV17)/AV17),0,((AV45-AV17)/AV17))</f>
        <v>0</v>
      </c>
      <c r="AW73" s="70">
        <f>IF(ISERROR((AW45-AW17)/AW17),0,((AW45-AW17)/AW17))</f>
        <v>0</v>
      </c>
      <c r="AX73" s="60">
        <f>IF(ISERROR((AX45-AX17)/AX17),0,((AX45-AX17)/AX17))</f>
        <v>0</v>
      </c>
      <c r="AY73" s="70">
        <f>IF(ISERROR((AY45-AY17)/AY17),0,((AY45-AY17)/AY17))</f>
        <v>0</v>
      </c>
      <c r="AZ73" s="60">
        <f>IF(ISERROR((AZ45-AZ17)/AZ17),0,((AZ45-AZ17)/AZ17))</f>
        <v>0</v>
      </c>
      <c r="BA73" s="70">
        <f>IF(ISERROR((BA45-BA17)/BA17),0,((BA45-BA17)/BA17))</f>
        <v>0</v>
      </c>
      <c r="BB73" s="60">
        <f>IF(ISERROR((BB45-BB17)/BB17),0,((BB45-BB17)/BB17))</f>
        <v>0</v>
      </c>
      <c r="BC73" s="70">
        <f>IF(ISERROR((BC45-BC17)/BC17),0,((BC45-BC17)/BC17))</f>
        <v>0</v>
      </c>
      <c r="BD73" s="60">
        <f>IF(ISERROR((BD45-BD17)/BD17),0,((BD45-BD17)/BD17))</f>
        <v>0</v>
      </c>
      <c r="BE73" s="70">
        <f>IF(ISERROR((BE45-BE17)/BE17),0,((BE45-BE17)/BE17))</f>
        <v>0</v>
      </c>
      <c r="BF73" s="60">
        <f>IF(ISERROR((BF45-BF17)/BF17),0,((BF45-BF17)/BF17))</f>
        <v>0</v>
      </c>
      <c r="BG73" s="70">
        <f>IF(ISERROR((BG45-BG17)/BG17),0,((BG45-BG17)/BG17))</f>
        <v>0</v>
      </c>
      <c r="BH73" s="60">
        <f>IF(ISERROR((BH45-BH17)/BH17),0,((BH45-BH17)/BH17))</f>
        <v>0</v>
      </c>
      <c r="BI73" s="70">
        <f>IF(ISERROR((BI45-BI17)/BI17),0,((BI45-BI17)/BI17))</f>
        <v>0</v>
      </c>
      <c r="BJ73" s="60">
        <f>IF(ISERROR((BJ45-BJ17)/BJ17),0,((BJ45-BJ17)/BJ17))</f>
        <v>0</v>
      </c>
      <c r="BK73" s="70">
        <f>IF(ISERROR((BK45-BK17)/BK17),0,((BK45-BK17)/BK17))</f>
        <v>0</v>
      </c>
      <c r="BL73" s="60">
        <f>IF(ISERROR((BL45-BL17)/BL17),0,((BL45-BL17)/BL17))</f>
        <v>0</v>
      </c>
      <c r="BM73" s="70">
        <f>IF(ISERROR((BM45-BM17)/BM17),0,((BM45-BM17)/BM17))</f>
        <v>0</v>
      </c>
      <c r="BN73" s="60">
        <f>IF(ISERROR((BN45-BN17)/BN17),0,((BN45-BN17)/BN17))</f>
        <v>0</v>
      </c>
      <c r="BO73" s="99">
        <f t="shared" si="17"/>
        <v>0</v>
      </c>
      <c r="BP73" s="99">
        <f t="shared" si="18"/>
        <v>0</v>
      </c>
      <c r="BQ73" s="99">
        <f t="shared" si="19"/>
        <v>0</v>
      </c>
    </row>
    <row r="74" spans="1:69">
      <c r="A74" s="47">
        <f>A18</f>
        <v>1000</v>
      </c>
      <c r="B74" s="30">
        <v>3.0000000000000003E-4</v>
      </c>
      <c r="C74" s="69">
        <f>IF(ISERROR((C46-C18)/C18),0,((C46-C18)/C18))</f>
        <v>0</v>
      </c>
      <c r="D74" s="60">
        <f>IF(ISERROR((D46-D18)/D18),0,((D46-D18)/D18))</f>
        <v>0</v>
      </c>
      <c r="E74" s="70">
        <f>IF(ISERROR((E46-E18)/E18),0,((E46-E18)/E18))</f>
        <v>0</v>
      </c>
      <c r="F74" s="60">
        <f>IF(ISERROR((F46-F18)/F18),0,((F46-F18)/F18))</f>
        <v>0</v>
      </c>
      <c r="G74" s="70">
        <f>IF(ISERROR((G46-G18)/G18),0,((G46-G18)/G18))</f>
        <v>0</v>
      </c>
      <c r="H74" s="60">
        <f>IF(ISERROR((H46-H18)/H18),0,((H46-H18)/H18))</f>
        <v>0</v>
      </c>
      <c r="I74" s="70">
        <f>IF(ISERROR((I46-I18)/I18),0,((I46-I18)/I18))</f>
        <v>0</v>
      </c>
      <c r="J74" s="60">
        <f>IF(ISERROR((J46-J18)/J18),0,((J46-J18)/J18))</f>
        <v>0</v>
      </c>
      <c r="K74" s="70">
        <f>IF(ISERROR((K46-K18)/K18),0,((K46-K18)/K18))</f>
        <v>0</v>
      </c>
      <c r="L74" s="60">
        <f>IF(ISERROR((L46-L18)/L18),0,((L46-L18)/L18))</f>
        <v>0</v>
      </c>
      <c r="M74" s="70">
        <f>IF(ISERROR((M46-M18)/M18),0,((M46-M18)/M18))</f>
        <v>0</v>
      </c>
      <c r="N74" s="60">
        <f>IF(ISERROR((N46-N18)/N18),0,((N46-N18)/N18))</f>
        <v>0</v>
      </c>
      <c r="O74" s="70">
        <f>IF(ISERROR((O46-O18)/O18),0,((O46-O18)/O18))</f>
        <v>0</v>
      </c>
      <c r="P74" s="60">
        <f>IF(ISERROR((P46-P18)/P18),0,((P46-P18)/P18))</f>
        <v>0</v>
      </c>
      <c r="Q74" s="70">
        <f>IF(ISERROR((Q46-Q18)/Q18),0,((Q46-Q18)/Q18))</f>
        <v>0</v>
      </c>
      <c r="R74" s="60">
        <f>IF(ISERROR((R46-R18)/R18),0,((R46-R18)/R18))</f>
        <v>0</v>
      </c>
      <c r="S74" s="70">
        <f>IF(ISERROR((S46-S18)/S18),0,((S46-S18)/S18))</f>
        <v>0</v>
      </c>
      <c r="T74" s="60">
        <f>IF(ISERROR((T46-T18)/T18),0,((T46-T18)/T18))</f>
        <v>0</v>
      </c>
      <c r="U74" s="70">
        <f>IF(ISERROR((U46-U18)/U18),0,((U46-U18)/U18))</f>
        <v>0</v>
      </c>
      <c r="V74" s="60">
        <f>IF(ISERROR((V46-V18)/V18),0,((V46-V18)/V18))</f>
        <v>0</v>
      </c>
      <c r="W74" s="70">
        <f>IF(ISERROR((W46-W18)/W18),0,((W46-W18)/W18))</f>
        <v>0</v>
      </c>
      <c r="X74" s="60">
        <f>IF(ISERROR((X46-X18)/X18),0,((X46-X18)/X18))</f>
        <v>0</v>
      </c>
      <c r="Y74" s="70">
        <f>IF(ISERROR((Y46-Y18)/Y18),0,((Y46-Y18)/Y18))</f>
        <v>0</v>
      </c>
      <c r="Z74" s="60">
        <f>IF(ISERROR((Z46-Z18)/Z18),0,((Z46-Z18)/Z18))</f>
        <v>0</v>
      </c>
      <c r="AA74" s="70">
        <f>IF(ISERROR((AA46-AA18)/AA18),0,((AA46-AA18)/AA18))</f>
        <v>0</v>
      </c>
      <c r="AB74" s="60">
        <f>IF(ISERROR((AB46-AB18)/AB18),0,((AB46-AB18)/AB18))</f>
        <v>0</v>
      </c>
      <c r="AC74" s="70">
        <f>IF(ISERROR((AC46-AC18)/AC18),0,((AC46-AC18)/AC18))</f>
        <v>0</v>
      </c>
      <c r="AD74" s="60">
        <f>IF(ISERROR((AD46-AD18)/AD18),0,((AD46-AD18)/AD18))</f>
        <v>0</v>
      </c>
      <c r="AE74" s="70">
        <f>IF(ISERROR((AE46-AE18)/AE18),0,((AE46-AE18)/AE18))</f>
        <v>0</v>
      </c>
      <c r="AF74" s="60">
        <f>IF(ISERROR((AF46-AF18)/AF18),0,((AF46-AF18)/AF18))</f>
        <v>0</v>
      </c>
      <c r="AG74" s="70">
        <f>IF(ISERROR((AG46-AG18)/AG18),0,((AG46-AG18)/AG18))</f>
        <v>0</v>
      </c>
      <c r="AH74" s="60">
        <f>IF(ISERROR((AH46-AH18)/AH18),0,((AH46-AH18)/AH18))</f>
        <v>0</v>
      </c>
      <c r="AI74" s="70">
        <f>IF(ISERROR((AI46-AI18)/AI18),0,((AI46-AI18)/AI18))</f>
        <v>0</v>
      </c>
      <c r="AJ74" s="60">
        <f>IF(ISERROR((AJ46-AJ18)/AJ18),0,((AJ46-AJ18)/AJ18))</f>
        <v>0</v>
      </c>
      <c r="AK74" s="70">
        <f>IF(ISERROR((AK46-AK18)/AK18),0,((AK46-AK18)/AK18))</f>
        <v>0</v>
      </c>
      <c r="AL74" s="60">
        <f>IF(ISERROR((AL46-AL18)/AL18),0,((AL46-AL18)/AL18))</f>
        <v>0</v>
      </c>
      <c r="AM74" s="70">
        <f>IF(ISERROR((AM46-AM18)/AM18),0,((AM46-AM18)/AM18))</f>
        <v>0</v>
      </c>
      <c r="AN74" s="60">
        <f>IF(ISERROR((AN46-AN18)/AN18),0,((AN46-AN18)/AN18))</f>
        <v>0</v>
      </c>
      <c r="AO74" s="70">
        <f>IF(ISERROR((AO46-AO18)/AO18),0,((AO46-AO18)/AO18))</f>
        <v>0</v>
      </c>
      <c r="AP74" s="60">
        <f>IF(ISERROR((AP46-AP18)/AP18),0,((AP46-AP18)/AP18))</f>
        <v>0</v>
      </c>
      <c r="AQ74" s="70">
        <f>IF(ISERROR((AQ46-AQ18)/AQ18),0,((AQ46-AQ18)/AQ18))</f>
        <v>0</v>
      </c>
      <c r="AR74" s="60">
        <f>IF(ISERROR((AR46-AR18)/AR18),0,((AR46-AR18)/AR18))</f>
        <v>0</v>
      </c>
      <c r="AS74" s="70">
        <f>IF(ISERROR((AS46-AS18)/AS18),0,((AS46-AS18)/AS18))</f>
        <v>0</v>
      </c>
      <c r="AT74" s="60">
        <f>IF(ISERROR((AT46-AT18)/AT18),0,((AT46-AT18)/AT18))</f>
        <v>0</v>
      </c>
      <c r="AU74" s="70">
        <f>IF(ISERROR((AU46-AU18)/AU18),0,((AU46-AU18)/AU18))</f>
        <v>0</v>
      </c>
      <c r="AV74" s="60">
        <f>IF(ISERROR((AV46-AV18)/AV18),0,((AV46-AV18)/AV18))</f>
        <v>0</v>
      </c>
      <c r="AW74" s="70">
        <f>IF(ISERROR((AW46-AW18)/AW18),0,((AW46-AW18)/AW18))</f>
        <v>0</v>
      </c>
      <c r="AX74" s="60">
        <f>IF(ISERROR((AX46-AX18)/AX18),0,((AX46-AX18)/AX18))</f>
        <v>0</v>
      </c>
      <c r="AY74" s="70">
        <f>IF(ISERROR((AY46-AY18)/AY18),0,((AY46-AY18)/AY18))</f>
        <v>0</v>
      </c>
      <c r="AZ74" s="60">
        <f>IF(ISERROR((AZ46-AZ18)/AZ18),0,((AZ46-AZ18)/AZ18))</f>
        <v>0</v>
      </c>
      <c r="BA74" s="70">
        <f>IF(ISERROR((BA46-BA18)/BA18),0,((BA46-BA18)/BA18))</f>
        <v>0</v>
      </c>
      <c r="BB74" s="60">
        <f>IF(ISERROR((BB46-BB18)/BB18),0,((BB46-BB18)/BB18))</f>
        <v>0</v>
      </c>
      <c r="BC74" s="70">
        <f>IF(ISERROR((BC46-BC18)/BC18),0,((BC46-BC18)/BC18))</f>
        <v>0</v>
      </c>
      <c r="BD74" s="60">
        <f>IF(ISERROR((BD46-BD18)/BD18),0,((BD46-BD18)/BD18))</f>
        <v>0</v>
      </c>
      <c r="BE74" s="70">
        <f>IF(ISERROR((BE46-BE18)/BE18),0,((BE46-BE18)/BE18))</f>
        <v>0</v>
      </c>
      <c r="BF74" s="60">
        <f>IF(ISERROR((BF46-BF18)/BF18),0,((BF46-BF18)/BF18))</f>
        <v>0</v>
      </c>
      <c r="BG74" s="70">
        <f>IF(ISERROR((BG46-BG18)/BG18),0,((BG46-BG18)/BG18))</f>
        <v>0</v>
      </c>
      <c r="BH74" s="60">
        <f>IF(ISERROR((BH46-BH18)/BH18),0,((BH46-BH18)/BH18))</f>
        <v>0</v>
      </c>
      <c r="BI74" s="70">
        <f>IF(ISERROR((BI46-BI18)/BI18),0,((BI46-BI18)/BI18))</f>
        <v>0</v>
      </c>
      <c r="BJ74" s="60">
        <f>IF(ISERROR((BJ46-BJ18)/BJ18),0,((BJ46-BJ18)/BJ18))</f>
        <v>0</v>
      </c>
      <c r="BK74" s="70">
        <f>IF(ISERROR((BK46-BK18)/BK18),0,((BK46-BK18)/BK18))</f>
        <v>0</v>
      </c>
      <c r="BL74" s="60">
        <f>IF(ISERROR((BL46-BL18)/BL18),0,((BL46-BL18)/BL18))</f>
        <v>0</v>
      </c>
      <c r="BM74" s="70">
        <f>IF(ISERROR((BM46-BM18)/BM18),0,((BM46-BM18)/BM18))</f>
        <v>0</v>
      </c>
      <c r="BN74" s="60">
        <f>IF(ISERROR((BN46-BN18)/BN18),0,((BN46-BN18)/BN18))</f>
        <v>0</v>
      </c>
      <c r="BO74" s="99">
        <f t="shared" si="17"/>
        <v>0</v>
      </c>
      <c r="BP74" s="99">
        <f t="shared" si="18"/>
        <v>0</v>
      </c>
      <c r="BQ74" s="99">
        <f t="shared" si="19"/>
        <v>0</v>
      </c>
    </row>
    <row r="75" spans="1:69">
      <c r="A75" s="47">
        <f>A19</f>
        <v>1000</v>
      </c>
      <c r="B75" s="30">
        <v>5.0000000000000001E-4</v>
      </c>
      <c r="C75" s="7">
        <f>IF(ISERROR((C47-C19)/C19),0,((C47-C19)/C19))</f>
        <v>0</v>
      </c>
      <c r="D75" s="60">
        <f>IF(ISERROR((D47-D19)/D19),0,((D47-D19)/D19))</f>
        <v>0</v>
      </c>
      <c r="E75" s="7">
        <f>IF(ISERROR((E47-E19)/E19),0,((E47-E19)/E19))</f>
        <v>0</v>
      </c>
      <c r="F75" s="60">
        <f>IF(ISERROR((F47-F19)/F19),0,((F47-F19)/F19))</f>
        <v>0</v>
      </c>
      <c r="G75" s="7">
        <f>IF(ISERROR((G47-G19)/G19),0,((G47-G19)/G19))</f>
        <v>0</v>
      </c>
      <c r="H75" s="60">
        <f>IF(ISERROR((H47-H19)/H19),0,((H47-H19)/H19))</f>
        <v>0</v>
      </c>
      <c r="I75" s="7">
        <f>IF(ISERROR((I47-I19)/I19),0,((I47-I19)/I19))</f>
        <v>0</v>
      </c>
      <c r="J75" s="60">
        <f>IF(ISERROR((J47-J19)/J19),0,((J47-J19)/J19))</f>
        <v>0</v>
      </c>
      <c r="K75" s="7">
        <f>IF(ISERROR((K47-K19)/K19),0,((K47-K19)/K19))</f>
        <v>0</v>
      </c>
      <c r="L75" s="60">
        <f>IF(ISERROR((L47-L19)/L19),0,((L47-L19)/L19))</f>
        <v>0</v>
      </c>
      <c r="M75" s="7">
        <f>IF(ISERROR((M47-M19)/M19),0,((M47-M19)/M19))</f>
        <v>0</v>
      </c>
      <c r="N75" s="60">
        <f>IF(ISERROR((N47-N19)/N19),0,((N47-N19)/N19))</f>
        <v>0</v>
      </c>
      <c r="O75" s="7">
        <f>IF(ISERROR((O47-O19)/O19),0,((O47-O19)/O19))</f>
        <v>0</v>
      </c>
      <c r="P75" s="60">
        <f>IF(ISERROR((P47-P19)/P19),0,((P47-P19)/P19))</f>
        <v>0</v>
      </c>
      <c r="Q75" s="7">
        <f>IF(ISERROR((Q47-Q19)/Q19),0,((Q47-Q19)/Q19))</f>
        <v>0</v>
      </c>
      <c r="R75" s="60">
        <f>IF(ISERROR((R47-R19)/R19),0,((R47-R19)/R19))</f>
        <v>0</v>
      </c>
      <c r="S75" s="7">
        <f>IF(ISERROR((S47-S19)/S19),0,((S47-S19)/S19))</f>
        <v>0</v>
      </c>
      <c r="T75" s="60">
        <f>IF(ISERROR((T47-T19)/T19),0,((T47-T19)/T19))</f>
        <v>0</v>
      </c>
      <c r="U75" s="7">
        <f>IF(ISERROR((U47-U19)/U19),0,((U47-U19)/U19))</f>
        <v>0</v>
      </c>
      <c r="V75" s="60">
        <f>IF(ISERROR((V47-V19)/V19),0,((V47-V19)/V19))</f>
        <v>0</v>
      </c>
      <c r="W75" s="7">
        <f>IF(ISERROR((W47-W19)/W19),0,((W47-W19)/W19))</f>
        <v>0</v>
      </c>
      <c r="X75" s="60">
        <f>IF(ISERROR((X47-X19)/X19),0,((X47-X19)/X19))</f>
        <v>0</v>
      </c>
      <c r="Y75" s="7">
        <f>IF(ISERROR((Y47-Y19)/Y19),0,((Y47-Y19)/Y19))</f>
        <v>0</v>
      </c>
      <c r="Z75" s="60">
        <f>IF(ISERROR((Z47-Z19)/Z19),0,((Z47-Z19)/Z19))</f>
        <v>0</v>
      </c>
      <c r="AA75" s="7">
        <f>IF(ISERROR((AA47-AA19)/AA19),0,((AA47-AA19)/AA19))</f>
        <v>0</v>
      </c>
      <c r="AB75" s="60">
        <f>IF(ISERROR((AB47-AB19)/AB19),0,((AB47-AB19)/AB19))</f>
        <v>0</v>
      </c>
      <c r="AC75" s="7">
        <f>IF(ISERROR((AC47-AC19)/AC19),0,((AC47-AC19)/AC19))</f>
        <v>0</v>
      </c>
      <c r="AD75" s="60">
        <f>IF(ISERROR((AD47-AD19)/AD19),0,((AD47-AD19)/AD19))</f>
        <v>0</v>
      </c>
      <c r="AE75" s="7">
        <f>IF(ISERROR((AE47-AE19)/AE19),0,((AE47-AE19)/AE19))</f>
        <v>0</v>
      </c>
      <c r="AF75" s="60">
        <f>IF(ISERROR((AF47-AF19)/AF19),0,((AF47-AF19)/AF19))</f>
        <v>0</v>
      </c>
      <c r="AG75" s="7">
        <f>IF(ISERROR((AG47-AG19)/AG19),0,((AG47-AG19)/AG19))</f>
        <v>0</v>
      </c>
      <c r="AH75" s="60">
        <f>IF(ISERROR((AH47-AH19)/AH19),0,((AH47-AH19)/AH19))</f>
        <v>0</v>
      </c>
      <c r="AI75" s="7">
        <f>IF(ISERROR((AI47-AI19)/AI19),0,((AI47-AI19)/AI19))</f>
        <v>0</v>
      </c>
      <c r="AJ75" s="60">
        <f>IF(ISERROR((AJ47-AJ19)/AJ19),0,((AJ47-AJ19)/AJ19))</f>
        <v>0</v>
      </c>
      <c r="AK75" s="7">
        <f>IF(ISERROR((AK47-AK19)/AK19),0,((AK47-AK19)/AK19))</f>
        <v>0</v>
      </c>
      <c r="AL75" s="60">
        <f>IF(ISERROR((AL47-AL19)/AL19),0,((AL47-AL19)/AL19))</f>
        <v>0</v>
      </c>
      <c r="AM75" s="7">
        <f>IF(ISERROR((AM47-AM19)/AM19),0,((AM47-AM19)/AM19))</f>
        <v>0</v>
      </c>
      <c r="AN75" s="60">
        <f>IF(ISERROR((AN47-AN19)/AN19),0,((AN47-AN19)/AN19))</f>
        <v>0</v>
      </c>
      <c r="AO75" s="7">
        <f>IF(ISERROR((AO47-AO19)/AO19),0,((AO47-AO19)/AO19))</f>
        <v>0</v>
      </c>
      <c r="AP75" s="60">
        <f>IF(ISERROR((AP47-AP19)/AP19),0,((AP47-AP19)/AP19))</f>
        <v>0</v>
      </c>
      <c r="AQ75" s="7">
        <f>IF(ISERROR((AQ47-AQ19)/AQ19),0,((AQ47-AQ19)/AQ19))</f>
        <v>0</v>
      </c>
      <c r="AR75" s="60">
        <f>IF(ISERROR((AR47-AR19)/AR19),0,((AR47-AR19)/AR19))</f>
        <v>0</v>
      </c>
      <c r="AS75" s="7">
        <f>IF(ISERROR((AS47-AS19)/AS19),0,((AS47-AS19)/AS19))</f>
        <v>0</v>
      </c>
      <c r="AT75" s="60">
        <f>IF(ISERROR((AT47-AT19)/AT19),0,((AT47-AT19)/AT19))</f>
        <v>0</v>
      </c>
      <c r="AU75" s="7">
        <f>IF(ISERROR((AU47-AU19)/AU19),0,((AU47-AU19)/AU19))</f>
        <v>0</v>
      </c>
      <c r="AV75" s="60">
        <f>IF(ISERROR((AV47-AV19)/AV19),0,((AV47-AV19)/AV19))</f>
        <v>0</v>
      </c>
      <c r="AW75" s="7">
        <f>IF(ISERROR((AW47-AW19)/AW19),0,((AW47-AW19)/AW19))</f>
        <v>0</v>
      </c>
      <c r="AX75" s="60">
        <f>IF(ISERROR((AX47-AX19)/AX19),0,((AX47-AX19)/AX19))</f>
        <v>0</v>
      </c>
      <c r="AY75" s="7">
        <f>IF(ISERROR((AY47-AY19)/AY19),0,((AY47-AY19)/AY19))</f>
        <v>0</v>
      </c>
      <c r="AZ75" s="60">
        <f>IF(ISERROR((AZ47-AZ19)/AZ19),0,((AZ47-AZ19)/AZ19))</f>
        <v>0</v>
      </c>
      <c r="BA75" s="7">
        <f>IF(ISERROR((BA47-BA19)/BA19),0,((BA47-BA19)/BA19))</f>
        <v>0</v>
      </c>
      <c r="BB75" s="60">
        <f>IF(ISERROR((BB47-BB19)/BB19),0,((BB47-BB19)/BB19))</f>
        <v>0</v>
      </c>
      <c r="BC75" s="7">
        <f>IF(ISERROR((BC47-BC19)/BC19),0,((BC47-BC19)/BC19))</f>
        <v>0</v>
      </c>
      <c r="BD75" s="60">
        <f>IF(ISERROR((BD47-BD19)/BD19),0,((BD47-BD19)/BD19))</f>
        <v>0</v>
      </c>
      <c r="BE75" s="7">
        <f>IF(ISERROR((BE47-BE19)/BE19),0,((BE47-BE19)/BE19))</f>
        <v>0</v>
      </c>
      <c r="BF75" s="60">
        <f>IF(ISERROR((BF47-BF19)/BF19),0,((BF47-BF19)/BF19))</f>
        <v>0</v>
      </c>
      <c r="BG75" s="7">
        <f>IF(ISERROR((BG47-BG19)/BG19),0,((BG47-BG19)/BG19))</f>
        <v>0</v>
      </c>
      <c r="BH75" s="60">
        <f>IF(ISERROR((BH47-BH19)/BH19),0,((BH47-BH19)/BH19))</f>
        <v>0</v>
      </c>
      <c r="BI75" s="7">
        <f>IF(ISERROR((BI47-BI19)/BI19),0,((BI47-BI19)/BI19))</f>
        <v>0</v>
      </c>
      <c r="BJ75" s="60">
        <f>IF(ISERROR((BJ47-BJ19)/BJ19),0,((BJ47-BJ19)/BJ19))</f>
        <v>0</v>
      </c>
      <c r="BK75" s="7">
        <f>IF(ISERROR((BK47-BK19)/BK19),0,((BK47-BK19)/BK19))</f>
        <v>0</v>
      </c>
      <c r="BL75" s="60">
        <f>IF(ISERROR((BL47-BL19)/BL19),0,((BL47-BL19)/BL19))</f>
        <v>0</v>
      </c>
      <c r="BM75" s="7">
        <f>IF(ISERROR((BM47-BM19)/BM19),0,((BM47-BM19)/BM19))</f>
        <v>0</v>
      </c>
      <c r="BN75" s="60">
        <f>IF(ISERROR((BN47-BN19)/BN19),0,((BN47-BN19)/BN19))</f>
        <v>0</v>
      </c>
      <c r="BO75" s="100">
        <f t="shared" si="17"/>
        <v>0</v>
      </c>
      <c r="BP75" s="100">
        <f t="shared" si="18"/>
        <v>0</v>
      </c>
      <c r="BQ75" s="100">
        <f t="shared" si="19"/>
        <v>0</v>
      </c>
    </row>
    <row r="76" spans="1:69">
      <c r="A76" s="47">
        <f>A20</f>
        <v>1000</v>
      </c>
      <c r="B76" s="30">
        <v>6.9999999999999999E-4</v>
      </c>
      <c r="C76" s="7">
        <f>IF(ISERROR((C48-C20)/C20),0,((C48-C20)/C20))</f>
        <v>0</v>
      </c>
      <c r="D76" s="60">
        <f>IF(ISERROR((D48-D20)/D20),0,((D48-D20)/D20))</f>
        <v>0</v>
      </c>
      <c r="E76" s="7">
        <f>IF(ISERROR((E48-E20)/E20),0,((E48-E20)/E20))</f>
        <v>0</v>
      </c>
      <c r="F76" s="60">
        <f>IF(ISERROR((F48-F20)/F20),0,((F48-F20)/F20))</f>
        <v>0</v>
      </c>
      <c r="G76" s="7">
        <f>IF(ISERROR((G48-G20)/G20),0,((G48-G20)/G20))</f>
        <v>0</v>
      </c>
      <c r="H76" s="60">
        <f>IF(ISERROR((H48-H20)/H20),0,((H48-H20)/H20))</f>
        <v>0</v>
      </c>
      <c r="I76" s="7">
        <f>IF(ISERROR((I48-I20)/I20),0,((I48-I20)/I20))</f>
        <v>0</v>
      </c>
      <c r="J76" s="60">
        <f>IF(ISERROR((J48-J20)/J20),0,((J48-J20)/J20))</f>
        <v>0</v>
      </c>
      <c r="K76" s="7">
        <f>IF(ISERROR((K48-K20)/K20),0,((K48-K20)/K20))</f>
        <v>0</v>
      </c>
      <c r="L76" s="60">
        <f>IF(ISERROR((L48-L20)/L20),0,((L48-L20)/L20))</f>
        <v>0</v>
      </c>
      <c r="M76" s="7">
        <f>IF(ISERROR((M48-M20)/M20),0,((M48-M20)/M20))</f>
        <v>0</v>
      </c>
      <c r="N76" s="60">
        <f>IF(ISERROR((N48-N20)/N20),0,((N48-N20)/N20))</f>
        <v>0</v>
      </c>
      <c r="O76" s="7">
        <f>IF(ISERROR((O48-O20)/O20),0,((O48-O20)/O20))</f>
        <v>0</v>
      </c>
      <c r="P76" s="60">
        <f>IF(ISERROR((P48-P20)/P20),0,((P48-P20)/P20))</f>
        <v>0</v>
      </c>
      <c r="Q76" s="7">
        <f>IF(ISERROR((Q48-Q20)/Q20),0,((Q48-Q20)/Q20))</f>
        <v>0</v>
      </c>
      <c r="R76" s="60">
        <f>IF(ISERROR((R48-R20)/R20),0,((R48-R20)/R20))</f>
        <v>0</v>
      </c>
      <c r="S76" s="7">
        <f>IF(ISERROR((S48-S20)/S20),0,((S48-S20)/S20))</f>
        <v>0</v>
      </c>
      <c r="T76" s="60">
        <f>IF(ISERROR((T48-T20)/T20),0,((T48-T20)/T20))</f>
        <v>0</v>
      </c>
      <c r="U76" s="7">
        <f>IF(ISERROR((U48-U20)/U20),0,((U48-U20)/U20))</f>
        <v>0</v>
      </c>
      <c r="V76" s="60">
        <f>IF(ISERROR((V48-V20)/V20),0,((V48-V20)/V20))</f>
        <v>0</v>
      </c>
      <c r="W76" s="7">
        <f>IF(ISERROR((W48-W20)/W20),0,((W48-W20)/W20))</f>
        <v>0</v>
      </c>
      <c r="X76" s="60">
        <f>IF(ISERROR((X48-X20)/X20),0,((X48-X20)/X20))</f>
        <v>0</v>
      </c>
      <c r="Y76" s="7">
        <f>IF(ISERROR((Y48-Y20)/Y20),0,((Y48-Y20)/Y20))</f>
        <v>0</v>
      </c>
      <c r="Z76" s="60">
        <f>IF(ISERROR((Z48-Z20)/Z20),0,((Z48-Z20)/Z20))</f>
        <v>0</v>
      </c>
      <c r="AA76" s="7">
        <f>IF(ISERROR((AA48-AA20)/AA20),0,((AA48-AA20)/AA20))</f>
        <v>0</v>
      </c>
      <c r="AB76" s="60">
        <f>IF(ISERROR((AB48-AB20)/AB20),0,((AB48-AB20)/AB20))</f>
        <v>0</v>
      </c>
      <c r="AC76" s="7">
        <f>IF(ISERROR((AC48-AC20)/AC20),0,((AC48-AC20)/AC20))</f>
        <v>0</v>
      </c>
      <c r="AD76" s="60">
        <f>IF(ISERROR((AD48-AD20)/AD20),0,((AD48-AD20)/AD20))</f>
        <v>0</v>
      </c>
      <c r="AE76" s="7">
        <f>IF(ISERROR((AE48-AE20)/AE20),0,((AE48-AE20)/AE20))</f>
        <v>0</v>
      </c>
      <c r="AF76" s="60">
        <f>IF(ISERROR((AF48-AF20)/AF20),0,((AF48-AF20)/AF20))</f>
        <v>0</v>
      </c>
      <c r="AG76" s="7">
        <f>IF(ISERROR((AG48-AG20)/AG20),0,((AG48-AG20)/AG20))</f>
        <v>0</v>
      </c>
      <c r="AH76" s="60">
        <f>IF(ISERROR((AH48-AH20)/AH20),0,((AH48-AH20)/AH20))</f>
        <v>0</v>
      </c>
      <c r="AI76" s="7">
        <f>IF(ISERROR((AI48-AI20)/AI20),0,((AI48-AI20)/AI20))</f>
        <v>0</v>
      </c>
      <c r="AJ76" s="60">
        <f>IF(ISERROR((AJ48-AJ20)/AJ20),0,((AJ48-AJ20)/AJ20))</f>
        <v>0</v>
      </c>
      <c r="AK76" s="7">
        <f>IF(ISERROR((AK48-AK20)/AK20),0,((AK48-AK20)/AK20))</f>
        <v>0</v>
      </c>
      <c r="AL76" s="60">
        <f>IF(ISERROR((AL48-AL20)/AL20),0,((AL48-AL20)/AL20))</f>
        <v>0</v>
      </c>
      <c r="AM76" s="7">
        <f>IF(ISERROR((AM48-AM20)/AM20),0,((AM48-AM20)/AM20))</f>
        <v>0</v>
      </c>
      <c r="AN76" s="60">
        <f>IF(ISERROR((AN48-AN20)/AN20),0,((AN48-AN20)/AN20))</f>
        <v>0</v>
      </c>
      <c r="AO76" s="7">
        <f>IF(ISERROR((AO48-AO20)/AO20),0,((AO48-AO20)/AO20))</f>
        <v>0</v>
      </c>
      <c r="AP76" s="60">
        <f>IF(ISERROR((AP48-AP20)/AP20),0,((AP48-AP20)/AP20))</f>
        <v>0</v>
      </c>
      <c r="AQ76" s="7">
        <f>IF(ISERROR((AQ48-AQ20)/AQ20),0,((AQ48-AQ20)/AQ20))</f>
        <v>0</v>
      </c>
      <c r="AR76" s="60">
        <f>IF(ISERROR((AR48-AR20)/AR20),0,((AR48-AR20)/AR20))</f>
        <v>0</v>
      </c>
      <c r="AS76" s="7">
        <f>IF(ISERROR((AS48-AS20)/AS20),0,((AS48-AS20)/AS20))</f>
        <v>0</v>
      </c>
      <c r="AT76" s="60">
        <f>IF(ISERROR((AT48-AT20)/AT20),0,((AT48-AT20)/AT20))</f>
        <v>0</v>
      </c>
      <c r="AU76" s="7">
        <f>IF(ISERROR((AU48-AU20)/AU20),0,((AU48-AU20)/AU20))</f>
        <v>0</v>
      </c>
      <c r="AV76" s="60">
        <f>IF(ISERROR((AV48-AV20)/AV20),0,((AV48-AV20)/AV20))</f>
        <v>0</v>
      </c>
      <c r="AW76" s="7">
        <f>IF(ISERROR((AW48-AW20)/AW20),0,((AW48-AW20)/AW20))</f>
        <v>0</v>
      </c>
      <c r="AX76" s="60">
        <f>IF(ISERROR((AX48-AX20)/AX20),0,((AX48-AX20)/AX20))</f>
        <v>0</v>
      </c>
      <c r="AY76" s="7">
        <f>IF(ISERROR((AY48-AY20)/AY20),0,((AY48-AY20)/AY20))</f>
        <v>0</v>
      </c>
      <c r="AZ76" s="60">
        <f>IF(ISERROR((AZ48-AZ20)/AZ20),0,((AZ48-AZ20)/AZ20))</f>
        <v>0</v>
      </c>
      <c r="BA76" s="7">
        <f>IF(ISERROR((BA48-BA20)/BA20),0,((BA48-BA20)/BA20))</f>
        <v>0</v>
      </c>
      <c r="BB76" s="60">
        <f>IF(ISERROR((BB48-BB20)/BB20),0,((BB48-BB20)/BB20))</f>
        <v>0</v>
      </c>
      <c r="BC76" s="7">
        <f>IF(ISERROR((BC48-BC20)/BC20),0,((BC48-BC20)/BC20))</f>
        <v>0</v>
      </c>
      <c r="BD76" s="60">
        <f>IF(ISERROR((BD48-BD20)/BD20),0,((BD48-BD20)/BD20))</f>
        <v>0</v>
      </c>
      <c r="BE76" s="7">
        <f>IF(ISERROR((BE48-BE20)/BE20),0,((BE48-BE20)/BE20))</f>
        <v>0</v>
      </c>
      <c r="BF76" s="60">
        <f>IF(ISERROR((BF48-BF20)/BF20),0,((BF48-BF20)/BF20))</f>
        <v>0</v>
      </c>
      <c r="BG76" s="7">
        <f>IF(ISERROR((BG48-BG20)/BG20),0,((BG48-BG20)/BG20))</f>
        <v>0</v>
      </c>
      <c r="BH76" s="60">
        <f>IF(ISERROR((BH48-BH20)/BH20),0,((BH48-BH20)/BH20))</f>
        <v>0</v>
      </c>
      <c r="BI76" s="7">
        <f>IF(ISERROR((BI48-BI20)/BI20),0,((BI48-BI20)/BI20))</f>
        <v>0</v>
      </c>
      <c r="BJ76" s="60">
        <f>IF(ISERROR((BJ48-BJ20)/BJ20),0,((BJ48-BJ20)/BJ20))</f>
        <v>0</v>
      </c>
      <c r="BK76" s="7">
        <f>IF(ISERROR((BK48-BK20)/BK20),0,((BK48-BK20)/BK20))</f>
        <v>0</v>
      </c>
      <c r="BL76" s="60">
        <f>IF(ISERROR((BL48-BL20)/BL20),0,((BL48-BL20)/BL20))</f>
        <v>0</v>
      </c>
      <c r="BM76" s="7">
        <f>IF(ISERROR((BM48-BM20)/BM20),0,((BM48-BM20)/BM20))</f>
        <v>0</v>
      </c>
      <c r="BN76" s="60">
        <f>IF(ISERROR((BN48-BN20)/BN20),0,((BN48-BN20)/BN20))</f>
        <v>0</v>
      </c>
      <c r="BO76" s="100">
        <f t="shared" si="17"/>
        <v>0</v>
      </c>
      <c r="BP76" s="100">
        <f t="shared" si="18"/>
        <v>0</v>
      </c>
      <c r="BQ76" s="100">
        <f t="shared" si="19"/>
        <v>0</v>
      </c>
    </row>
    <row r="77" spans="1:69">
      <c r="A77" s="47">
        <f>A21</f>
        <v>1000</v>
      </c>
      <c r="B77" s="30">
        <f t="shared" ref="B77:B95" si="20">B72*10</f>
        <v>1E-3</v>
      </c>
      <c r="C77" s="7">
        <f>IF(ISERROR((C49-C21)/C21),0,((C49-C21)/C21))</f>
        <v>0</v>
      </c>
      <c r="D77" s="60">
        <f>IF(ISERROR((D49-D21)/D21),0,((D49-D21)/D21))</f>
        <v>0</v>
      </c>
      <c r="E77" s="7">
        <f>IF(ISERROR((E49-E21)/E21),0,((E49-E21)/E21))</f>
        <v>0</v>
      </c>
      <c r="F77" s="60">
        <f>IF(ISERROR((F49-F21)/F21),0,((F49-F21)/F21))</f>
        <v>0</v>
      </c>
      <c r="G77" s="7">
        <f>IF(ISERROR((G49-G21)/G21),0,((G49-G21)/G21))</f>
        <v>0</v>
      </c>
      <c r="H77" s="60">
        <f>IF(ISERROR((H49-H21)/H21),0,((H49-H21)/H21))</f>
        <v>0</v>
      </c>
      <c r="I77" s="7">
        <f>IF(ISERROR((I49-I21)/I21),0,((I49-I21)/I21))</f>
        <v>0</v>
      </c>
      <c r="J77" s="60">
        <f>IF(ISERROR((J49-J21)/J21),0,((J49-J21)/J21))</f>
        <v>0</v>
      </c>
      <c r="K77" s="7">
        <f>IF(ISERROR((K49-K21)/K21),0,((K49-K21)/K21))</f>
        <v>0</v>
      </c>
      <c r="L77" s="60">
        <f>IF(ISERROR((L49-L21)/L21),0,((L49-L21)/L21))</f>
        <v>0</v>
      </c>
      <c r="M77" s="7">
        <f>IF(ISERROR((M49-M21)/M21),0,((M49-M21)/M21))</f>
        <v>0</v>
      </c>
      <c r="N77" s="60">
        <f>IF(ISERROR((N49-N21)/N21),0,((N49-N21)/N21))</f>
        <v>0</v>
      </c>
      <c r="O77" s="7">
        <f>IF(ISERROR((O49-O21)/O21),0,((O49-O21)/O21))</f>
        <v>0</v>
      </c>
      <c r="P77" s="60">
        <f>IF(ISERROR((P49-P21)/P21),0,((P49-P21)/P21))</f>
        <v>0</v>
      </c>
      <c r="Q77" s="7">
        <f>IF(ISERROR((Q49-Q21)/Q21),0,((Q49-Q21)/Q21))</f>
        <v>0</v>
      </c>
      <c r="R77" s="60">
        <f>IF(ISERROR((R49-R21)/R21),0,((R49-R21)/R21))</f>
        <v>0</v>
      </c>
      <c r="S77" s="7">
        <f>IF(ISERROR((S49-S21)/S21),0,((S49-S21)/S21))</f>
        <v>0</v>
      </c>
      <c r="T77" s="60">
        <f>IF(ISERROR((T49-T21)/T21),0,((T49-T21)/T21))</f>
        <v>0</v>
      </c>
      <c r="U77" s="7">
        <f>IF(ISERROR((U49-U21)/U21),0,((U49-U21)/U21))</f>
        <v>0</v>
      </c>
      <c r="V77" s="60">
        <f>IF(ISERROR((V49-V21)/V21),0,((V49-V21)/V21))</f>
        <v>0</v>
      </c>
      <c r="W77" s="7">
        <f>IF(ISERROR((W49-W21)/W21),0,((W49-W21)/W21))</f>
        <v>0</v>
      </c>
      <c r="X77" s="60">
        <f>IF(ISERROR((X49-X21)/X21),0,((X49-X21)/X21))</f>
        <v>0</v>
      </c>
      <c r="Y77" s="7">
        <f>IF(ISERROR((Y49-Y21)/Y21),0,((Y49-Y21)/Y21))</f>
        <v>0</v>
      </c>
      <c r="Z77" s="60">
        <f>IF(ISERROR((Z49-Z21)/Z21),0,((Z49-Z21)/Z21))</f>
        <v>0</v>
      </c>
      <c r="AA77" s="7">
        <f>IF(ISERROR((AA49-AA21)/AA21),0,((AA49-AA21)/AA21))</f>
        <v>0</v>
      </c>
      <c r="AB77" s="60">
        <f>IF(ISERROR((AB49-AB21)/AB21),0,((AB49-AB21)/AB21))</f>
        <v>0</v>
      </c>
      <c r="AC77" s="7">
        <f>IF(ISERROR((AC49-AC21)/AC21),0,((AC49-AC21)/AC21))</f>
        <v>0</v>
      </c>
      <c r="AD77" s="60">
        <f>IF(ISERROR((AD49-AD21)/AD21),0,((AD49-AD21)/AD21))</f>
        <v>0</v>
      </c>
      <c r="AE77" s="7">
        <f>IF(ISERROR((AE49-AE21)/AE21),0,((AE49-AE21)/AE21))</f>
        <v>0</v>
      </c>
      <c r="AF77" s="60">
        <f>IF(ISERROR((AF49-AF21)/AF21),0,((AF49-AF21)/AF21))</f>
        <v>0</v>
      </c>
      <c r="AG77" s="7">
        <f>IF(ISERROR((AG49-AG21)/AG21),0,((AG49-AG21)/AG21))</f>
        <v>0</v>
      </c>
      <c r="AH77" s="60">
        <f>IF(ISERROR((AH49-AH21)/AH21),0,((AH49-AH21)/AH21))</f>
        <v>0</v>
      </c>
      <c r="AI77" s="7">
        <f>IF(ISERROR((AI49-AI21)/AI21),0,((AI49-AI21)/AI21))</f>
        <v>0</v>
      </c>
      <c r="AJ77" s="60">
        <f>IF(ISERROR((AJ49-AJ21)/AJ21),0,((AJ49-AJ21)/AJ21))</f>
        <v>0</v>
      </c>
      <c r="AK77" s="7">
        <f>IF(ISERROR((AK49-AK21)/AK21),0,((AK49-AK21)/AK21))</f>
        <v>0</v>
      </c>
      <c r="AL77" s="60">
        <f>IF(ISERROR((AL49-AL21)/AL21),0,((AL49-AL21)/AL21))</f>
        <v>0</v>
      </c>
      <c r="AM77" s="7">
        <f>IF(ISERROR((AM49-AM21)/AM21),0,((AM49-AM21)/AM21))</f>
        <v>0</v>
      </c>
      <c r="AN77" s="60">
        <f>IF(ISERROR((AN49-AN21)/AN21),0,((AN49-AN21)/AN21))</f>
        <v>0</v>
      </c>
      <c r="AO77" s="7">
        <f>IF(ISERROR((AO49-AO21)/AO21),0,((AO49-AO21)/AO21))</f>
        <v>0</v>
      </c>
      <c r="AP77" s="60">
        <f>IF(ISERROR((AP49-AP21)/AP21),0,((AP49-AP21)/AP21))</f>
        <v>0</v>
      </c>
      <c r="AQ77" s="7">
        <f>IF(ISERROR((AQ49-AQ21)/AQ21),0,((AQ49-AQ21)/AQ21))</f>
        <v>0</v>
      </c>
      <c r="AR77" s="60">
        <f>IF(ISERROR((AR49-AR21)/AR21),0,((AR49-AR21)/AR21))</f>
        <v>0</v>
      </c>
      <c r="AS77" s="7">
        <f>IF(ISERROR((AS49-AS21)/AS21),0,((AS49-AS21)/AS21))</f>
        <v>0</v>
      </c>
      <c r="AT77" s="60">
        <f>IF(ISERROR((AT49-AT21)/AT21),0,((AT49-AT21)/AT21))</f>
        <v>0</v>
      </c>
      <c r="AU77" s="7">
        <f>IF(ISERROR((AU49-AU21)/AU21),0,((AU49-AU21)/AU21))</f>
        <v>0</v>
      </c>
      <c r="AV77" s="60">
        <f>IF(ISERROR((AV49-AV21)/AV21),0,((AV49-AV21)/AV21))</f>
        <v>0</v>
      </c>
      <c r="AW77" s="7">
        <f>IF(ISERROR((AW49-AW21)/AW21),0,((AW49-AW21)/AW21))</f>
        <v>0</v>
      </c>
      <c r="AX77" s="60">
        <f>IF(ISERROR((AX49-AX21)/AX21),0,((AX49-AX21)/AX21))</f>
        <v>0</v>
      </c>
      <c r="AY77" s="7">
        <f>IF(ISERROR((AY49-AY21)/AY21),0,((AY49-AY21)/AY21))</f>
        <v>0</v>
      </c>
      <c r="AZ77" s="60">
        <f>IF(ISERROR((AZ49-AZ21)/AZ21),0,((AZ49-AZ21)/AZ21))</f>
        <v>0</v>
      </c>
      <c r="BA77" s="7">
        <f>IF(ISERROR((BA49-BA21)/BA21),0,((BA49-BA21)/BA21))</f>
        <v>0</v>
      </c>
      <c r="BB77" s="60">
        <f>IF(ISERROR((BB49-BB21)/BB21),0,((BB49-BB21)/BB21))</f>
        <v>0</v>
      </c>
      <c r="BC77" s="7">
        <f>IF(ISERROR((BC49-BC21)/BC21),0,((BC49-BC21)/BC21))</f>
        <v>0</v>
      </c>
      <c r="BD77" s="60">
        <f>IF(ISERROR((BD49-BD21)/BD21),0,((BD49-BD21)/BD21))</f>
        <v>0</v>
      </c>
      <c r="BE77" s="7">
        <f>IF(ISERROR((BE49-BE21)/BE21),0,((BE49-BE21)/BE21))</f>
        <v>0</v>
      </c>
      <c r="BF77" s="60">
        <f>IF(ISERROR((BF49-BF21)/BF21),0,((BF49-BF21)/BF21))</f>
        <v>0</v>
      </c>
      <c r="BG77" s="7">
        <f>IF(ISERROR((BG49-BG21)/BG21),0,((BG49-BG21)/BG21))</f>
        <v>0</v>
      </c>
      <c r="BH77" s="60">
        <f>IF(ISERROR((BH49-BH21)/BH21),0,((BH49-BH21)/BH21))</f>
        <v>0</v>
      </c>
      <c r="BI77" s="7">
        <f>IF(ISERROR((BI49-BI21)/BI21),0,((BI49-BI21)/BI21))</f>
        <v>0</v>
      </c>
      <c r="BJ77" s="60">
        <f>IF(ISERROR((BJ49-BJ21)/BJ21),0,((BJ49-BJ21)/BJ21))</f>
        <v>0</v>
      </c>
      <c r="BK77" s="7">
        <f>IF(ISERROR((BK49-BK21)/BK21),0,((BK49-BK21)/BK21))</f>
        <v>0</v>
      </c>
      <c r="BL77" s="60">
        <f>IF(ISERROR((BL49-BL21)/BL21),0,((BL49-BL21)/BL21))</f>
        <v>0</v>
      </c>
      <c r="BM77" s="7">
        <f>IF(ISERROR((BM49-BM21)/BM21),0,((BM49-BM21)/BM21))</f>
        <v>0</v>
      </c>
      <c r="BN77" s="60">
        <f>IF(ISERROR((BN49-BN21)/BN21),0,((BN49-BN21)/BN21))</f>
        <v>0</v>
      </c>
      <c r="BO77" s="100">
        <f t="shared" si="17"/>
        <v>0</v>
      </c>
      <c r="BP77" s="100">
        <f t="shared" si="18"/>
        <v>0</v>
      </c>
      <c r="BQ77" s="100">
        <f t="shared" si="19"/>
        <v>0</v>
      </c>
    </row>
    <row r="78" spans="1:69">
      <c r="A78" s="47">
        <f>A22</f>
        <v>500</v>
      </c>
      <c r="B78" s="30">
        <f t="shared" si="20"/>
        <v>2E-3</v>
      </c>
      <c r="C78" s="7">
        <f>IF(ISERROR((C50-C22)/C22),0,((C50-C22)/C22))</f>
        <v>0</v>
      </c>
      <c r="D78" s="60">
        <f>IF(ISERROR((D50-D22)/D22),0,((D50-D22)/D22))</f>
        <v>0</v>
      </c>
      <c r="E78" s="7">
        <f>IF(ISERROR((E50-E22)/E22),0,((E50-E22)/E22))</f>
        <v>0</v>
      </c>
      <c r="F78" s="60">
        <f>IF(ISERROR((F50-F22)/F22),0,((F50-F22)/F22))</f>
        <v>0</v>
      </c>
      <c r="G78" s="7">
        <f>IF(ISERROR((G50-G22)/G22),0,((G50-G22)/G22))</f>
        <v>0</v>
      </c>
      <c r="H78" s="60">
        <f>IF(ISERROR((H50-H22)/H22),0,((H50-H22)/H22))</f>
        <v>0</v>
      </c>
      <c r="I78" s="7">
        <f>IF(ISERROR((I50-I22)/I22),0,((I50-I22)/I22))</f>
        <v>0</v>
      </c>
      <c r="J78" s="60">
        <f>IF(ISERROR((J50-J22)/J22),0,((J50-J22)/J22))</f>
        <v>0</v>
      </c>
      <c r="K78" s="7">
        <f>IF(ISERROR((K50-K22)/K22),0,((K50-K22)/K22))</f>
        <v>0</v>
      </c>
      <c r="L78" s="60">
        <f>IF(ISERROR((L50-L22)/L22),0,((L50-L22)/L22))</f>
        <v>0</v>
      </c>
      <c r="M78" s="7">
        <f>IF(ISERROR((M50-M22)/M22),0,((M50-M22)/M22))</f>
        <v>0</v>
      </c>
      <c r="N78" s="60">
        <f>IF(ISERROR((N50-N22)/N22),0,((N50-N22)/N22))</f>
        <v>0</v>
      </c>
      <c r="O78" s="7">
        <f>IF(ISERROR((O50-O22)/O22),0,((O50-O22)/O22))</f>
        <v>0</v>
      </c>
      <c r="P78" s="60">
        <f>IF(ISERROR((P50-P22)/P22),0,((P50-P22)/P22))</f>
        <v>0</v>
      </c>
      <c r="Q78" s="7">
        <f>IF(ISERROR((Q50-Q22)/Q22),0,((Q50-Q22)/Q22))</f>
        <v>0</v>
      </c>
      <c r="R78" s="60">
        <f>IF(ISERROR((R50-R22)/R22),0,((R50-R22)/R22))</f>
        <v>0</v>
      </c>
      <c r="S78" s="7">
        <f>IF(ISERROR((S50-S22)/S22),0,((S50-S22)/S22))</f>
        <v>0</v>
      </c>
      <c r="T78" s="60">
        <f>IF(ISERROR((T50-T22)/T22),0,((T50-T22)/T22))</f>
        <v>0</v>
      </c>
      <c r="U78" s="7">
        <f>IF(ISERROR((U50-U22)/U22),0,((U50-U22)/U22))</f>
        <v>0</v>
      </c>
      <c r="V78" s="60">
        <f>IF(ISERROR((V50-V22)/V22),0,((V50-V22)/V22))</f>
        <v>0</v>
      </c>
      <c r="W78" s="7">
        <f>IF(ISERROR((W50-W22)/W22),0,((W50-W22)/W22))</f>
        <v>0</v>
      </c>
      <c r="X78" s="60">
        <f>IF(ISERROR((X50-X22)/X22),0,((X50-X22)/X22))</f>
        <v>0</v>
      </c>
      <c r="Y78" s="7">
        <f>IF(ISERROR((Y50-Y22)/Y22),0,((Y50-Y22)/Y22))</f>
        <v>0</v>
      </c>
      <c r="Z78" s="60">
        <f>IF(ISERROR((Z50-Z22)/Z22),0,((Z50-Z22)/Z22))</f>
        <v>0</v>
      </c>
      <c r="AA78" s="7">
        <f>IF(ISERROR((AA50-AA22)/AA22),0,((AA50-AA22)/AA22))</f>
        <v>0</v>
      </c>
      <c r="AB78" s="60">
        <f>IF(ISERROR((AB50-AB22)/AB22),0,((AB50-AB22)/AB22))</f>
        <v>0</v>
      </c>
      <c r="AC78" s="7">
        <f>IF(ISERROR((AC50-AC22)/AC22),0,((AC50-AC22)/AC22))</f>
        <v>0</v>
      </c>
      <c r="AD78" s="60">
        <f>IF(ISERROR((AD50-AD22)/AD22),0,((AD50-AD22)/AD22))</f>
        <v>0</v>
      </c>
      <c r="AE78" s="7">
        <f>IF(ISERROR((AE50-AE22)/AE22),0,((AE50-AE22)/AE22))</f>
        <v>0</v>
      </c>
      <c r="AF78" s="60">
        <f>IF(ISERROR((AF50-AF22)/AF22),0,((AF50-AF22)/AF22))</f>
        <v>0</v>
      </c>
      <c r="AG78" s="7">
        <f>IF(ISERROR((AG50-AG22)/AG22),0,((AG50-AG22)/AG22))</f>
        <v>0</v>
      </c>
      <c r="AH78" s="60">
        <f>IF(ISERROR((AH50-AH22)/AH22),0,((AH50-AH22)/AH22))</f>
        <v>0</v>
      </c>
      <c r="AI78" s="7">
        <f>IF(ISERROR((AI50-AI22)/AI22),0,((AI50-AI22)/AI22))</f>
        <v>0</v>
      </c>
      <c r="AJ78" s="60">
        <f>IF(ISERROR((AJ50-AJ22)/AJ22),0,((AJ50-AJ22)/AJ22))</f>
        <v>0</v>
      </c>
      <c r="AK78" s="7">
        <f>IF(ISERROR((AK50-AK22)/AK22),0,((AK50-AK22)/AK22))</f>
        <v>0</v>
      </c>
      <c r="AL78" s="60">
        <f>IF(ISERROR((AL50-AL22)/AL22),0,((AL50-AL22)/AL22))</f>
        <v>0</v>
      </c>
      <c r="AM78" s="7">
        <f>IF(ISERROR((AM50-AM22)/AM22),0,((AM50-AM22)/AM22))</f>
        <v>0</v>
      </c>
      <c r="AN78" s="60">
        <f>IF(ISERROR((AN50-AN22)/AN22),0,((AN50-AN22)/AN22))</f>
        <v>0</v>
      </c>
      <c r="AO78" s="7">
        <f>IF(ISERROR((AO50-AO22)/AO22),0,((AO50-AO22)/AO22))</f>
        <v>0</v>
      </c>
      <c r="AP78" s="60">
        <f>IF(ISERROR((AP50-AP22)/AP22),0,((AP50-AP22)/AP22))</f>
        <v>0</v>
      </c>
      <c r="AQ78" s="7">
        <f>IF(ISERROR((AQ50-AQ22)/AQ22),0,((AQ50-AQ22)/AQ22))</f>
        <v>0</v>
      </c>
      <c r="AR78" s="60">
        <f>IF(ISERROR((AR50-AR22)/AR22),0,((AR50-AR22)/AR22))</f>
        <v>0</v>
      </c>
      <c r="AS78" s="7">
        <f>IF(ISERROR((AS50-AS22)/AS22),0,((AS50-AS22)/AS22))</f>
        <v>0</v>
      </c>
      <c r="AT78" s="60">
        <f>IF(ISERROR((AT50-AT22)/AT22),0,((AT50-AT22)/AT22))</f>
        <v>0</v>
      </c>
      <c r="AU78" s="7">
        <f>IF(ISERROR((AU50-AU22)/AU22),0,((AU50-AU22)/AU22))</f>
        <v>0</v>
      </c>
      <c r="AV78" s="60">
        <f>IF(ISERROR((AV50-AV22)/AV22),0,((AV50-AV22)/AV22))</f>
        <v>0</v>
      </c>
      <c r="AW78" s="7">
        <f>IF(ISERROR((AW50-AW22)/AW22),0,((AW50-AW22)/AW22))</f>
        <v>0</v>
      </c>
      <c r="AX78" s="60">
        <f>IF(ISERROR((AX50-AX22)/AX22),0,((AX50-AX22)/AX22))</f>
        <v>0</v>
      </c>
      <c r="AY78" s="7">
        <f>IF(ISERROR((AY50-AY22)/AY22),0,((AY50-AY22)/AY22))</f>
        <v>0</v>
      </c>
      <c r="AZ78" s="60">
        <f>IF(ISERROR((AZ50-AZ22)/AZ22),0,((AZ50-AZ22)/AZ22))</f>
        <v>0</v>
      </c>
      <c r="BA78" s="7">
        <f>IF(ISERROR((BA50-BA22)/BA22),0,((BA50-BA22)/BA22))</f>
        <v>0</v>
      </c>
      <c r="BB78" s="60">
        <f>IF(ISERROR((BB50-BB22)/BB22),0,((BB50-BB22)/BB22))</f>
        <v>0</v>
      </c>
      <c r="BC78" s="7">
        <f>IF(ISERROR((BC50-BC22)/BC22),0,((BC50-BC22)/BC22))</f>
        <v>0</v>
      </c>
      <c r="BD78" s="60">
        <f>IF(ISERROR((BD50-BD22)/BD22),0,((BD50-BD22)/BD22))</f>
        <v>0</v>
      </c>
      <c r="BE78" s="7">
        <f>IF(ISERROR((BE50-BE22)/BE22),0,((BE50-BE22)/BE22))</f>
        <v>0</v>
      </c>
      <c r="BF78" s="60">
        <f>IF(ISERROR((BF50-BF22)/BF22),0,((BF50-BF22)/BF22))</f>
        <v>0</v>
      </c>
      <c r="BG78" s="7">
        <f>IF(ISERROR((BG50-BG22)/BG22),0,((BG50-BG22)/BG22))</f>
        <v>0</v>
      </c>
      <c r="BH78" s="60">
        <f>IF(ISERROR((BH50-BH22)/BH22),0,((BH50-BH22)/BH22))</f>
        <v>0</v>
      </c>
      <c r="BI78" s="7">
        <f>IF(ISERROR((BI50-BI22)/BI22),0,((BI50-BI22)/BI22))</f>
        <v>0</v>
      </c>
      <c r="BJ78" s="60">
        <f>IF(ISERROR((BJ50-BJ22)/BJ22),0,((BJ50-BJ22)/BJ22))</f>
        <v>0</v>
      </c>
      <c r="BK78" s="7">
        <f>IF(ISERROR((BK50-BK22)/BK22),0,((BK50-BK22)/BK22))</f>
        <v>0</v>
      </c>
      <c r="BL78" s="60">
        <f>IF(ISERROR((BL50-BL22)/BL22),0,((BL50-BL22)/BL22))</f>
        <v>0</v>
      </c>
      <c r="BM78" s="7">
        <f>IF(ISERROR((BM50-BM22)/BM22),0,((BM50-BM22)/BM22))</f>
        <v>0</v>
      </c>
      <c r="BN78" s="60">
        <f>IF(ISERROR((BN50-BN22)/BN22),0,((BN50-BN22)/BN22))</f>
        <v>0</v>
      </c>
      <c r="BO78" s="100">
        <f t="shared" si="17"/>
        <v>0</v>
      </c>
      <c r="BP78" s="100">
        <f t="shared" si="18"/>
        <v>0</v>
      </c>
      <c r="BQ78" s="100">
        <f t="shared" si="19"/>
        <v>0</v>
      </c>
    </row>
    <row r="79" spans="1:69">
      <c r="A79" s="47">
        <f>A23</f>
        <v>300</v>
      </c>
      <c r="B79" s="30">
        <f t="shared" si="20"/>
        <v>3.0000000000000001E-3</v>
      </c>
      <c r="C79" s="7">
        <f>IF(ISERROR((C51-C23)/C23),0,((C51-C23)/C23))</f>
        <v>0</v>
      </c>
      <c r="D79" s="60">
        <f>IF(ISERROR((D51-D23)/D23),0,((D51-D23)/D23))</f>
        <v>0</v>
      </c>
      <c r="E79" s="7">
        <f>IF(ISERROR((E51-E23)/E23),0,((E51-E23)/E23))</f>
        <v>0</v>
      </c>
      <c r="F79" s="60">
        <f>IF(ISERROR((F51-F23)/F23),0,((F51-F23)/F23))</f>
        <v>0</v>
      </c>
      <c r="G79" s="7">
        <f>IF(ISERROR((G51-G23)/G23),0,((G51-G23)/G23))</f>
        <v>0</v>
      </c>
      <c r="H79" s="60">
        <f>IF(ISERROR((H51-H23)/H23),0,((H51-H23)/H23))</f>
        <v>0</v>
      </c>
      <c r="I79" s="7">
        <f>IF(ISERROR((I51-I23)/I23),0,((I51-I23)/I23))</f>
        <v>0</v>
      </c>
      <c r="J79" s="60">
        <f>IF(ISERROR((J51-J23)/J23),0,((J51-J23)/J23))</f>
        <v>0</v>
      </c>
      <c r="K79" s="7">
        <f>IF(ISERROR((K51-K23)/K23),0,((K51-K23)/K23))</f>
        <v>0</v>
      </c>
      <c r="L79" s="60">
        <f>IF(ISERROR((L51-L23)/L23),0,((L51-L23)/L23))</f>
        <v>0</v>
      </c>
      <c r="M79" s="7">
        <f>IF(ISERROR((M51-M23)/M23),0,((M51-M23)/M23))</f>
        <v>0</v>
      </c>
      <c r="N79" s="60">
        <f>IF(ISERROR((N51-N23)/N23),0,((N51-N23)/N23))</f>
        <v>0</v>
      </c>
      <c r="O79" s="7">
        <f>IF(ISERROR((O51-O23)/O23),0,((O51-O23)/O23))</f>
        <v>0</v>
      </c>
      <c r="P79" s="60">
        <f>IF(ISERROR((P51-P23)/P23),0,((P51-P23)/P23))</f>
        <v>0</v>
      </c>
      <c r="Q79" s="7">
        <f>IF(ISERROR((Q51-Q23)/Q23),0,((Q51-Q23)/Q23))</f>
        <v>0</v>
      </c>
      <c r="R79" s="60">
        <f>IF(ISERROR((R51-R23)/R23),0,((R51-R23)/R23))</f>
        <v>0</v>
      </c>
      <c r="S79" s="7">
        <f>IF(ISERROR((S51-S23)/S23),0,((S51-S23)/S23))</f>
        <v>0</v>
      </c>
      <c r="T79" s="60">
        <f>IF(ISERROR((T51-T23)/T23),0,((T51-T23)/T23))</f>
        <v>0</v>
      </c>
      <c r="U79" s="7">
        <f>IF(ISERROR((U51-U23)/U23),0,((U51-U23)/U23))</f>
        <v>0</v>
      </c>
      <c r="V79" s="60">
        <f>IF(ISERROR((V51-V23)/V23),0,((V51-V23)/V23))</f>
        <v>0</v>
      </c>
      <c r="W79" s="7">
        <f>IF(ISERROR((W51-W23)/W23),0,((W51-W23)/W23))</f>
        <v>0</v>
      </c>
      <c r="X79" s="60">
        <f>IF(ISERROR((X51-X23)/X23),0,((X51-X23)/X23))</f>
        <v>0</v>
      </c>
      <c r="Y79" s="7">
        <f>IF(ISERROR((Y51-Y23)/Y23),0,((Y51-Y23)/Y23))</f>
        <v>0</v>
      </c>
      <c r="Z79" s="60">
        <f>IF(ISERROR((Z51-Z23)/Z23),0,((Z51-Z23)/Z23))</f>
        <v>0</v>
      </c>
      <c r="AA79" s="7">
        <f>IF(ISERROR((AA51-AA23)/AA23),0,((AA51-AA23)/AA23))</f>
        <v>0</v>
      </c>
      <c r="AB79" s="60">
        <f>IF(ISERROR((AB51-AB23)/AB23),0,((AB51-AB23)/AB23))</f>
        <v>0</v>
      </c>
      <c r="AC79" s="7">
        <f>IF(ISERROR((AC51-AC23)/AC23),0,((AC51-AC23)/AC23))</f>
        <v>0</v>
      </c>
      <c r="AD79" s="60">
        <f>IF(ISERROR((AD51-AD23)/AD23),0,((AD51-AD23)/AD23))</f>
        <v>0</v>
      </c>
      <c r="AE79" s="7">
        <f>IF(ISERROR((AE51-AE23)/AE23),0,((AE51-AE23)/AE23))</f>
        <v>0</v>
      </c>
      <c r="AF79" s="60">
        <f>IF(ISERROR((AF51-AF23)/AF23),0,((AF51-AF23)/AF23))</f>
        <v>0</v>
      </c>
      <c r="AG79" s="7">
        <f>IF(ISERROR((AG51-AG23)/AG23),0,((AG51-AG23)/AG23))</f>
        <v>0</v>
      </c>
      <c r="AH79" s="60">
        <f>IF(ISERROR((AH51-AH23)/AH23),0,((AH51-AH23)/AH23))</f>
        <v>0</v>
      </c>
      <c r="AI79" s="7">
        <f>IF(ISERROR((AI51-AI23)/AI23),0,((AI51-AI23)/AI23))</f>
        <v>0</v>
      </c>
      <c r="AJ79" s="60">
        <f>IF(ISERROR((AJ51-AJ23)/AJ23),0,((AJ51-AJ23)/AJ23))</f>
        <v>0</v>
      </c>
      <c r="AK79" s="7">
        <f>IF(ISERROR((AK51-AK23)/AK23),0,((AK51-AK23)/AK23))</f>
        <v>0</v>
      </c>
      <c r="AL79" s="60">
        <f>IF(ISERROR((AL51-AL23)/AL23),0,((AL51-AL23)/AL23))</f>
        <v>0</v>
      </c>
      <c r="AM79" s="7">
        <f>IF(ISERROR((AM51-AM23)/AM23),0,((AM51-AM23)/AM23))</f>
        <v>0</v>
      </c>
      <c r="AN79" s="60">
        <f>IF(ISERROR((AN51-AN23)/AN23),0,((AN51-AN23)/AN23))</f>
        <v>0</v>
      </c>
      <c r="AO79" s="7">
        <f>IF(ISERROR((AO51-AO23)/AO23),0,((AO51-AO23)/AO23))</f>
        <v>0</v>
      </c>
      <c r="AP79" s="60">
        <f>IF(ISERROR((AP51-AP23)/AP23),0,((AP51-AP23)/AP23))</f>
        <v>0</v>
      </c>
      <c r="AQ79" s="7">
        <f>IF(ISERROR((AQ51-AQ23)/AQ23),0,((AQ51-AQ23)/AQ23))</f>
        <v>0</v>
      </c>
      <c r="AR79" s="60">
        <f>IF(ISERROR((AR51-AR23)/AR23),0,((AR51-AR23)/AR23))</f>
        <v>0</v>
      </c>
      <c r="AS79" s="7">
        <f>IF(ISERROR((AS51-AS23)/AS23),0,((AS51-AS23)/AS23))</f>
        <v>0</v>
      </c>
      <c r="AT79" s="60">
        <f>IF(ISERROR((AT51-AT23)/AT23),0,((AT51-AT23)/AT23))</f>
        <v>0</v>
      </c>
      <c r="AU79" s="7">
        <f>IF(ISERROR((AU51-AU23)/AU23),0,((AU51-AU23)/AU23))</f>
        <v>0</v>
      </c>
      <c r="AV79" s="60">
        <f>IF(ISERROR((AV51-AV23)/AV23),0,((AV51-AV23)/AV23))</f>
        <v>0</v>
      </c>
      <c r="AW79" s="7">
        <f>IF(ISERROR((AW51-AW23)/AW23),0,((AW51-AW23)/AW23))</f>
        <v>0</v>
      </c>
      <c r="AX79" s="60">
        <f>IF(ISERROR((AX51-AX23)/AX23),0,((AX51-AX23)/AX23))</f>
        <v>0</v>
      </c>
      <c r="AY79" s="7">
        <f>IF(ISERROR((AY51-AY23)/AY23),0,((AY51-AY23)/AY23))</f>
        <v>0</v>
      </c>
      <c r="AZ79" s="60">
        <f>IF(ISERROR((AZ51-AZ23)/AZ23),0,((AZ51-AZ23)/AZ23))</f>
        <v>0</v>
      </c>
      <c r="BA79" s="7">
        <f>IF(ISERROR((BA51-BA23)/BA23),0,((BA51-BA23)/BA23))</f>
        <v>0</v>
      </c>
      <c r="BB79" s="60">
        <f>IF(ISERROR((BB51-BB23)/BB23),0,((BB51-BB23)/BB23))</f>
        <v>0</v>
      </c>
      <c r="BC79" s="7">
        <f>IF(ISERROR((BC51-BC23)/BC23),0,((BC51-BC23)/BC23))</f>
        <v>0</v>
      </c>
      <c r="BD79" s="60">
        <f>IF(ISERROR((BD51-BD23)/BD23),0,((BD51-BD23)/BD23))</f>
        <v>0</v>
      </c>
      <c r="BE79" s="7">
        <f>IF(ISERROR((BE51-BE23)/BE23),0,((BE51-BE23)/BE23))</f>
        <v>0</v>
      </c>
      <c r="BF79" s="60">
        <f>IF(ISERROR((BF51-BF23)/BF23),0,((BF51-BF23)/BF23))</f>
        <v>0</v>
      </c>
      <c r="BG79" s="7">
        <f>IF(ISERROR((BG51-BG23)/BG23),0,((BG51-BG23)/BG23))</f>
        <v>0</v>
      </c>
      <c r="BH79" s="60">
        <f>IF(ISERROR((BH51-BH23)/BH23),0,((BH51-BH23)/BH23))</f>
        <v>0</v>
      </c>
      <c r="BI79" s="7">
        <f>IF(ISERROR((BI51-BI23)/BI23),0,((BI51-BI23)/BI23))</f>
        <v>0</v>
      </c>
      <c r="BJ79" s="60">
        <f>IF(ISERROR((BJ51-BJ23)/BJ23),0,((BJ51-BJ23)/BJ23))</f>
        <v>0</v>
      </c>
      <c r="BK79" s="7">
        <f>IF(ISERROR((BK51-BK23)/BK23),0,((BK51-BK23)/BK23))</f>
        <v>0</v>
      </c>
      <c r="BL79" s="60">
        <f>IF(ISERROR((BL51-BL23)/BL23),0,((BL51-BL23)/BL23))</f>
        <v>0</v>
      </c>
      <c r="BM79" s="7">
        <f>IF(ISERROR((BM51-BM23)/BM23),0,((BM51-BM23)/BM23))</f>
        <v>0</v>
      </c>
      <c r="BN79" s="60">
        <f>IF(ISERROR((BN51-BN23)/BN23),0,((BN51-BN23)/BN23))</f>
        <v>0</v>
      </c>
      <c r="BO79" s="100">
        <f t="shared" si="17"/>
        <v>0</v>
      </c>
      <c r="BP79" s="100">
        <f t="shared" si="18"/>
        <v>0</v>
      </c>
      <c r="BQ79" s="100">
        <f t="shared" si="19"/>
        <v>0</v>
      </c>
    </row>
    <row r="80" spans="1:69">
      <c r="A80" s="47">
        <f>A24</f>
        <v>300</v>
      </c>
      <c r="B80" s="30">
        <f t="shared" si="20"/>
        <v>5.0000000000000001E-3</v>
      </c>
      <c r="C80" s="7">
        <f>IF(ISERROR((C52-C24)/C24),0,((C52-C24)/C24))</f>
        <v>0</v>
      </c>
      <c r="D80" s="60">
        <f>IF(ISERROR((D52-D24)/D24),0,((D52-D24)/D24))</f>
        <v>0</v>
      </c>
      <c r="E80" s="7">
        <f>IF(ISERROR((E52-E24)/E24),0,((E52-E24)/E24))</f>
        <v>0</v>
      </c>
      <c r="F80" s="60">
        <f>IF(ISERROR((F52-F24)/F24),0,((F52-F24)/F24))</f>
        <v>0</v>
      </c>
      <c r="G80" s="7">
        <f>IF(ISERROR((G52-G24)/G24),0,((G52-G24)/G24))</f>
        <v>0</v>
      </c>
      <c r="H80" s="60">
        <f>IF(ISERROR((H52-H24)/H24),0,((H52-H24)/H24))</f>
        <v>0</v>
      </c>
      <c r="I80" s="7">
        <f>IF(ISERROR((I52-I24)/I24),0,((I52-I24)/I24))</f>
        <v>0</v>
      </c>
      <c r="J80" s="60">
        <f>IF(ISERROR((J52-J24)/J24),0,((J52-J24)/J24))</f>
        <v>0</v>
      </c>
      <c r="K80" s="7">
        <f>IF(ISERROR((K52-K24)/K24),0,((K52-K24)/K24))</f>
        <v>0</v>
      </c>
      <c r="L80" s="60">
        <f>IF(ISERROR((L52-L24)/L24),0,((L52-L24)/L24))</f>
        <v>0</v>
      </c>
      <c r="M80" s="7">
        <f>IF(ISERROR((M52-M24)/M24),0,((M52-M24)/M24))</f>
        <v>0</v>
      </c>
      <c r="N80" s="60">
        <f>IF(ISERROR((N52-N24)/N24),0,((N52-N24)/N24))</f>
        <v>0</v>
      </c>
      <c r="O80" s="7">
        <f>IF(ISERROR((O52-O24)/O24),0,((O52-O24)/O24))</f>
        <v>0</v>
      </c>
      <c r="P80" s="60">
        <f>IF(ISERROR((P52-P24)/P24),0,((P52-P24)/P24))</f>
        <v>0</v>
      </c>
      <c r="Q80" s="7">
        <f>IF(ISERROR((Q52-Q24)/Q24),0,((Q52-Q24)/Q24))</f>
        <v>0</v>
      </c>
      <c r="R80" s="60">
        <f>IF(ISERROR((R52-R24)/R24),0,((R52-R24)/R24))</f>
        <v>0</v>
      </c>
      <c r="S80" s="7">
        <f>IF(ISERROR((S52-S24)/S24),0,((S52-S24)/S24))</f>
        <v>0</v>
      </c>
      <c r="T80" s="60">
        <f>IF(ISERROR((T52-T24)/T24),0,((T52-T24)/T24))</f>
        <v>0</v>
      </c>
      <c r="U80" s="7">
        <f>IF(ISERROR((U52-U24)/U24),0,((U52-U24)/U24))</f>
        <v>0</v>
      </c>
      <c r="V80" s="60">
        <f>IF(ISERROR((V52-V24)/V24),0,((V52-V24)/V24))</f>
        <v>0</v>
      </c>
      <c r="W80" s="7">
        <f>IF(ISERROR((W52-W24)/W24),0,((W52-W24)/W24))</f>
        <v>0</v>
      </c>
      <c r="X80" s="60">
        <f>IF(ISERROR((X52-X24)/X24),0,((X52-X24)/X24))</f>
        <v>0</v>
      </c>
      <c r="Y80" s="7">
        <f>IF(ISERROR((Y52-Y24)/Y24),0,((Y52-Y24)/Y24))</f>
        <v>0</v>
      </c>
      <c r="Z80" s="60">
        <f>IF(ISERROR((Z52-Z24)/Z24),0,((Z52-Z24)/Z24))</f>
        <v>0</v>
      </c>
      <c r="AA80" s="7">
        <f>IF(ISERROR((AA52-AA24)/AA24),0,((AA52-AA24)/AA24))</f>
        <v>0</v>
      </c>
      <c r="AB80" s="60">
        <f>IF(ISERROR((AB52-AB24)/AB24),0,((AB52-AB24)/AB24))</f>
        <v>0</v>
      </c>
      <c r="AC80" s="7">
        <f>IF(ISERROR((AC52-AC24)/AC24),0,((AC52-AC24)/AC24))</f>
        <v>0</v>
      </c>
      <c r="AD80" s="60">
        <f>IF(ISERROR((AD52-AD24)/AD24),0,((AD52-AD24)/AD24))</f>
        <v>0</v>
      </c>
      <c r="AE80" s="7">
        <f>IF(ISERROR((AE52-AE24)/AE24),0,((AE52-AE24)/AE24))</f>
        <v>0</v>
      </c>
      <c r="AF80" s="60">
        <f>IF(ISERROR((AF52-AF24)/AF24),0,((AF52-AF24)/AF24))</f>
        <v>0</v>
      </c>
      <c r="AG80" s="7">
        <f>IF(ISERROR((AG52-AG24)/AG24),0,((AG52-AG24)/AG24))</f>
        <v>0</v>
      </c>
      <c r="AH80" s="60">
        <f>IF(ISERROR((AH52-AH24)/AH24),0,((AH52-AH24)/AH24))</f>
        <v>0</v>
      </c>
      <c r="AI80" s="7">
        <f>IF(ISERROR((AI52-AI24)/AI24),0,((AI52-AI24)/AI24))</f>
        <v>0</v>
      </c>
      <c r="AJ80" s="60">
        <f>IF(ISERROR((AJ52-AJ24)/AJ24),0,((AJ52-AJ24)/AJ24))</f>
        <v>0</v>
      </c>
      <c r="AK80" s="7">
        <f>IF(ISERROR((AK52-AK24)/AK24),0,((AK52-AK24)/AK24))</f>
        <v>0</v>
      </c>
      <c r="AL80" s="60">
        <f>IF(ISERROR((AL52-AL24)/AL24),0,((AL52-AL24)/AL24))</f>
        <v>0</v>
      </c>
      <c r="AM80" s="7">
        <f>IF(ISERROR((AM52-AM24)/AM24),0,((AM52-AM24)/AM24))</f>
        <v>0</v>
      </c>
      <c r="AN80" s="60">
        <f>IF(ISERROR((AN52-AN24)/AN24),0,((AN52-AN24)/AN24))</f>
        <v>0</v>
      </c>
      <c r="AO80" s="7">
        <f>IF(ISERROR((AO52-AO24)/AO24),0,((AO52-AO24)/AO24))</f>
        <v>0</v>
      </c>
      <c r="AP80" s="60">
        <f>IF(ISERROR((AP52-AP24)/AP24),0,((AP52-AP24)/AP24))</f>
        <v>0</v>
      </c>
      <c r="AQ80" s="7">
        <f>IF(ISERROR((AQ52-AQ24)/AQ24),0,((AQ52-AQ24)/AQ24))</f>
        <v>0</v>
      </c>
      <c r="AR80" s="60">
        <f>IF(ISERROR((AR52-AR24)/AR24),0,((AR52-AR24)/AR24))</f>
        <v>0</v>
      </c>
      <c r="AS80" s="7">
        <f>IF(ISERROR((AS52-AS24)/AS24),0,((AS52-AS24)/AS24))</f>
        <v>0</v>
      </c>
      <c r="AT80" s="60">
        <f>IF(ISERROR((AT52-AT24)/AT24),0,((AT52-AT24)/AT24))</f>
        <v>0</v>
      </c>
      <c r="AU80" s="7">
        <f>IF(ISERROR((AU52-AU24)/AU24),0,((AU52-AU24)/AU24))</f>
        <v>0</v>
      </c>
      <c r="AV80" s="60">
        <f>IF(ISERROR((AV52-AV24)/AV24),0,((AV52-AV24)/AV24))</f>
        <v>0</v>
      </c>
      <c r="AW80" s="7">
        <f>IF(ISERROR((AW52-AW24)/AW24),0,((AW52-AW24)/AW24))</f>
        <v>0</v>
      </c>
      <c r="AX80" s="60">
        <f>IF(ISERROR((AX52-AX24)/AX24),0,((AX52-AX24)/AX24))</f>
        <v>0</v>
      </c>
      <c r="AY80" s="7">
        <f>IF(ISERROR((AY52-AY24)/AY24),0,((AY52-AY24)/AY24))</f>
        <v>0</v>
      </c>
      <c r="AZ80" s="60">
        <f>IF(ISERROR((AZ52-AZ24)/AZ24),0,((AZ52-AZ24)/AZ24))</f>
        <v>0</v>
      </c>
      <c r="BA80" s="7">
        <f>IF(ISERROR((BA52-BA24)/BA24),0,((BA52-BA24)/BA24))</f>
        <v>0</v>
      </c>
      <c r="BB80" s="60">
        <f>IF(ISERROR((BB52-BB24)/BB24),0,((BB52-BB24)/BB24))</f>
        <v>0</v>
      </c>
      <c r="BC80" s="7">
        <f>IF(ISERROR((BC52-BC24)/BC24),0,((BC52-BC24)/BC24))</f>
        <v>0</v>
      </c>
      <c r="BD80" s="60">
        <f>IF(ISERROR((BD52-BD24)/BD24),0,((BD52-BD24)/BD24))</f>
        <v>0</v>
      </c>
      <c r="BE80" s="7">
        <f>IF(ISERROR((BE52-BE24)/BE24),0,((BE52-BE24)/BE24))</f>
        <v>0</v>
      </c>
      <c r="BF80" s="60">
        <f>IF(ISERROR((BF52-BF24)/BF24),0,((BF52-BF24)/BF24))</f>
        <v>0</v>
      </c>
      <c r="BG80" s="7">
        <f>IF(ISERROR((BG52-BG24)/BG24),0,((BG52-BG24)/BG24))</f>
        <v>0</v>
      </c>
      <c r="BH80" s="60">
        <f>IF(ISERROR((BH52-BH24)/BH24),0,((BH52-BH24)/BH24))</f>
        <v>0</v>
      </c>
      <c r="BI80" s="7">
        <f>IF(ISERROR((BI52-BI24)/BI24),0,((BI52-BI24)/BI24))</f>
        <v>0</v>
      </c>
      <c r="BJ80" s="60">
        <f>IF(ISERROR((BJ52-BJ24)/BJ24),0,((BJ52-BJ24)/BJ24))</f>
        <v>0</v>
      </c>
      <c r="BK80" s="7">
        <f>IF(ISERROR((BK52-BK24)/BK24),0,((BK52-BK24)/BK24))</f>
        <v>0</v>
      </c>
      <c r="BL80" s="60">
        <f>IF(ISERROR((BL52-BL24)/BL24),0,((BL52-BL24)/BL24))</f>
        <v>0</v>
      </c>
      <c r="BM80" s="7">
        <f>IF(ISERROR((BM52-BM24)/BM24),0,((BM52-BM24)/BM24))</f>
        <v>0</v>
      </c>
      <c r="BN80" s="60">
        <f>IF(ISERROR((BN52-BN24)/BN24),0,((BN52-BN24)/BN24))</f>
        <v>0</v>
      </c>
      <c r="BO80" s="100">
        <f t="shared" si="17"/>
        <v>0</v>
      </c>
      <c r="BP80" s="100">
        <f t="shared" si="18"/>
        <v>0</v>
      </c>
      <c r="BQ80" s="100">
        <f t="shared" si="19"/>
        <v>0</v>
      </c>
    </row>
    <row r="81" spans="1:69">
      <c r="A81" s="47">
        <f>A25</f>
        <v>300</v>
      </c>
      <c r="B81" s="30">
        <f t="shared" si="20"/>
        <v>7.0000000000000001E-3</v>
      </c>
      <c r="C81" s="7">
        <f>IF(ISERROR((C53-C25)/C25),0,((C53-C25)/C25))</f>
        <v>0</v>
      </c>
      <c r="D81" s="60">
        <f>IF(ISERROR((D53-D25)/D25),0,((D53-D25)/D25))</f>
        <v>0</v>
      </c>
      <c r="E81" s="7">
        <f>IF(ISERROR((E53-E25)/E25),0,((E53-E25)/E25))</f>
        <v>0</v>
      </c>
      <c r="F81" s="60">
        <f>IF(ISERROR((F53-F25)/F25),0,((F53-F25)/F25))</f>
        <v>0</v>
      </c>
      <c r="G81" s="7">
        <f>IF(ISERROR((G53-G25)/G25),0,((G53-G25)/G25))</f>
        <v>0</v>
      </c>
      <c r="H81" s="60">
        <f>IF(ISERROR((H53-H25)/H25),0,((H53-H25)/H25))</f>
        <v>0</v>
      </c>
      <c r="I81" s="7">
        <f>IF(ISERROR((I53-I25)/I25),0,((I53-I25)/I25))</f>
        <v>0</v>
      </c>
      <c r="J81" s="60">
        <f>IF(ISERROR((J53-J25)/J25),0,((J53-J25)/J25))</f>
        <v>0</v>
      </c>
      <c r="K81" s="7">
        <f>IF(ISERROR((K53-K25)/K25),0,((K53-K25)/K25))</f>
        <v>0</v>
      </c>
      <c r="L81" s="60">
        <f>IF(ISERROR((L53-L25)/L25),0,((L53-L25)/L25))</f>
        <v>0</v>
      </c>
      <c r="M81" s="7">
        <f>IF(ISERROR((M53-M25)/M25),0,((M53-M25)/M25))</f>
        <v>0</v>
      </c>
      <c r="N81" s="60">
        <f>IF(ISERROR((N53-N25)/N25),0,((N53-N25)/N25))</f>
        <v>0</v>
      </c>
      <c r="O81" s="7">
        <f>IF(ISERROR((O53-O25)/O25),0,((O53-O25)/O25))</f>
        <v>0</v>
      </c>
      <c r="P81" s="60">
        <f>IF(ISERROR((P53-P25)/P25),0,((P53-P25)/P25))</f>
        <v>0</v>
      </c>
      <c r="Q81" s="7">
        <f>IF(ISERROR((Q53-Q25)/Q25),0,((Q53-Q25)/Q25))</f>
        <v>0</v>
      </c>
      <c r="R81" s="60">
        <f>IF(ISERROR((R53-R25)/R25),0,((R53-R25)/R25))</f>
        <v>0</v>
      </c>
      <c r="S81" s="7">
        <f>IF(ISERROR((S53-S25)/S25),0,((S53-S25)/S25))</f>
        <v>0</v>
      </c>
      <c r="T81" s="60">
        <f>IF(ISERROR((T53-T25)/T25),0,((T53-T25)/T25))</f>
        <v>0</v>
      </c>
      <c r="U81" s="7">
        <f>IF(ISERROR((U53-U25)/U25),0,((U53-U25)/U25))</f>
        <v>0</v>
      </c>
      <c r="V81" s="60">
        <f>IF(ISERROR((V53-V25)/V25),0,((V53-V25)/V25))</f>
        <v>0</v>
      </c>
      <c r="W81" s="7">
        <f>IF(ISERROR((W53-W25)/W25),0,((W53-W25)/W25))</f>
        <v>0</v>
      </c>
      <c r="X81" s="60">
        <f>IF(ISERROR((X53-X25)/X25),0,((X53-X25)/X25))</f>
        <v>0</v>
      </c>
      <c r="Y81" s="7">
        <f>IF(ISERROR((Y53-Y25)/Y25),0,((Y53-Y25)/Y25))</f>
        <v>0</v>
      </c>
      <c r="Z81" s="60">
        <f>IF(ISERROR((Z53-Z25)/Z25),0,((Z53-Z25)/Z25))</f>
        <v>0</v>
      </c>
      <c r="AA81" s="7">
        <f>IF(ISERROR((AA53-AA25)/AA25),0,((AA53-AA25)/AA25))</f>
        <v>0</v>
      </c>
      <c r="AB81" s="60">
        <f>IF(ISERROR((AB53-AB25)/AB25),0,((AB53-AB25)/AB25))</f>
        <v>0</v>
      </c>
      <c r="AC81" s="7">
        <f>IF(ISERROR((AC53-AC25)/AC25),0,((AC53-AC25)/AC25))</f>
        <v>0</v>
      </c>
      <c r="AD81" s="60">
        <f>IF(ISERROR((AD53-AD25)/AD25),0,((AD53-AD25)/AD25))</f>
        <v>0</v>
      </c>
      <c r="AE81" s="7">
        <f>IF(ISERROR((AE53-AE25)/AE25),0,((AE53-AE25)/AE25))</f>
        <v>0</v>
      </c>
      <c r="AF81" s="60">
        <f>IF(ISERROR((AF53-AF25)/AF25),0,((AF53-AF25)/AF25))</f>
        <v>0</v>
      </c>
      <c r="AG81" s="7">
        <f>IF(ISERROR((AG53-AG25)/AG25),0,((AG53-AG25)/AG25))</f>
        <v>0</v>
      </c>
      <c r="AH81" s="60">
        <f>IF(ISERROR((AH53-AH25)/AH25),0,((AH53-AH25)/AH25))</f>
        <v>0</v>
      </c>
      <c r="AI81" s="7">
        <f>IF(ISERROR((AI53-AI25)/AI25),0,((AI53-AI25)/AI25))</f>
        <v>0</v>
      </c>
      <c r="AJ81" s="60">
        <f>IF(ISERROR((AJ53-AJ25)/AJ25),0,((AJ53-AJ25)/AJ25))</f>
        <v>0</v>
      </c>
      <c r="AK81" s="7">
        <f>IF(ISERROR((AK53-AK25)/AK25),0,((AK53-AK25)/AK25))</f>
        <v>0</v>
      </c>
      <c r="AL81" s="60">
        <f>IF(ISERROR((AL53-AL25)/AL25),0,((AL53-AL25)/AL25))</f>
        <v>0</v>
      </c>
      <c r="AM81" s="7">
        <f>IF(ISERROR((AM53-AM25)/AM25),0,((AM53-AM25)/AM25))</f>
        <v>0</v>
      </c>
      <c r="AN81" s="60">
        <f>IF(ISERROR((AN53-AN25)/AN25),0,((AN53-AN25)/AN25))</f>
        <v>0</v>
      </c>
      <c r="AO81" s="7">
        <f>IF(ISERROR((AO53-AO25)/AO25),0,((AO53-AO25)/AO25))</f>
        <v>0</v>
      </c>
      <c r="AP81" s="60">
        <f>IF(ISERROR((AP53-AP25)/AP25),0,((AP53-AP25)/AP25))</f>
        <v>0</v>
      </c>
      <c r="AQ81" s="7">
        <f>IF(ISERROR((AQ53-AQ25)/AQ25),0,((AQ53-AQ25)/AQ25))</f>
        <v>0</v>
      </c>
      <c r="AR81" s="60">
        <f>IF(ISERROR((AR53-AR25)/AR25),0,((AR53-AR25)/AR25))</f>
        <v>0</v>
      </c>
      <c r="AS81" s="7">
        <f>IF(ISERROR((AS53-AS25)/AS25),0,((AS53-AS25)/AS25))</f>
        <v>0</v>
      </c>
      <c r="AT81" s="60">
        <f>IF(ISERROR((AT53-AT25)/AT25),0,((AT53-AT25)/AT25))</f>
        <v>0</v>
      </c>
      <c r="AU81" s="7">
        <f>IF(ISERROR((AU53-AU25)/AU25),0,((AU53-AU25)/AU25))</f>
        <v>0</v>
      </c>
      <c r="AV81" s="60">
        <f>IF(ISERROR((AV53-AV25)/AV25),0,((AV53-AV25)/AV25))</f>
        <v>0</v>
      </c>
      <c r="AW81" s="7">
        <f>IF(ISERROR((AW53-AW25)/AW25),0,((AW53-AW25)/AW25))</f>
        <v>0</v>
      </c>
      <c r="AX81" s="60">
        <f>IF(ISERROR((AX53-AX25)/AX25),0,((AX53-AX25)/AX25))</f>
        <v>0</v>
      </c>
      <c r="AY81" s="7">
        <f>IF(ISERROR((AY53-AY25)/AY25),0,((AY53-AY25)/AY25))</f>
        <v>0</v>
      </c>
      <c r="AZ81" s="60">
        <f>IF(ISERROR((AZ53-AZ25)/AZ25),0,((AZ53-AZ25)/AZ25))</f>
        <v>0</v>
      </c>
      <c r="BA81" s="7">
        <f>IF(ISERROR((BA53-BA25)/BA25),0,((BA53-BA25)/BA25))</f>
        <v>0</v>
      </c>
      <c r="BB81" s="60">
        <f>IF(ISERROR((BB53-BB25)/BB25),0,((BB53-BB25)/BB25))</f>
        <v>0</v>
      </c>
      <c r="BC81" s="7">
        <f>IF(ISERROR((BC53-BC25)/BC25),0,((BC53-BC25)/BC25))</f>
        <v>0</v>
      </c>
      <c r="BD81" s="60">
        <f>IF(ISERROR((BD53-BD25)/BD25),0,((BD53-BD25)/BD25))</f>
        <v>0</v>
      </c>
      <c r="BE81" s="7">
        <f>IF(ISERROR((BE53-BE25)/BE25),0,((BE53-BE25)/BE25))</f>
        <v>0</v>
      </c>
      <c r="BF81" s="60">
        <f>IF(ISERROR((BF53-BF25)/BF25),0,((BF53-BF25)/BF25))</f>
        <v>0</v>
      </c>
      <c r="BG81" s="7">
        <f>IF(ISERROR((BG53-BG25)/BG25),0,((BG53-BG25)/BG25))</f>
        <v>0</v>
      </c>
      <c r="BH81" s="60">
        <f>IF(ISERROR((BH53-BH25)/BH25),0,((BH53-BH25)/BH25))</f>
        <v>0</v>
      </c>
      <c r="BI81" s="7">
        <f>IF(ISERROR((BI53-BI25)/BI25),0,((BI53-BI25)/BI25))</f>
        <v>0</v>
      </c>
      <c r="BJ81" s="60">
        <f>IF(ISERROR((BJ53-BJ25)/BJ25),0,((BJ53-BJ25)/BJ25))</f>
        <v>0</v>
      </c>
      <c r="BK81" s="7">
        <f>IF(ISERROR((BK53-BK25)/BK25),0,((BK53-BK25)/BK25))</f>
        <v>0</v>
      </c>
      <c r="BL81" s="60">
        <f>IF(ISERROR((BL53-BL25)/BL25),0,((BL53-BL25)/BL25))</f>
        <v>0</v>
      </c>
      <c r="BM81" s="7">
        <f>IF(ISERROR((BM53-BM25)/BM25),0,((BM53-BM25)/BM25))</f>
        <v>0</v>
      </c>
      <c r="BN81" s="60">
        <f>IF(ISERROR((BN53-BN25)/BN25),0,((BN53-BN25)/BN25))</f>
        <v>0</v>
      </c>
      <c r="BO81" s="100">
        <f t="shared" si="17"/>
        <v>0</v>
      </c>
      <c r="BP81" s="100">
        <f t="shared" si="18"/>
        <v>0</v>
      </c>
      <c r="BQ81" s="100">
        <f t="shared" si="19"/>
        <v>0</v>
      </c>
    </row>
    <row r="82" spans="1:69">
      <c r="A82" s="47">
        <f>A26</f>
        <v>200</v>
      </c>
      <c r="B82" s="30">
        <f t="shared" si="20"/>
        <v>0.01</v>
      </c>
      <c r="C82" s="7">
        <f>IF(ISERROR((C54-C26)/C26),0,((C54-C26)/C26))</f>
        <v>0</v>
      </c>
      <c r="D82" s="60">
        <f>IF(ISERROR((D54-D26)/D26),0,((D54-D26)/D26))</f>
        <v>0</v>
      </c>
      <c r="E82" s="7">
        <f>IF(ISERROR((E54-E26)/E26),0,((E54-E26)/E26))</f>
        <v>0</v>
      </c>
      <c r="F82" s="60">
        <f>IF(ISERROR((F54-F26)/F26),0,((F54-F26)/F26))</f>
        <v>0</v>
      </c>
      <c r="G82" s="7">
        <f>IF(ISERROR((G54-G26)/G26),0,((G54-G26)/G26))</f>
        <v>0</v>
      </c>
      <c r="H82" s="60">
        <f>IF(ISERROR((H54-H26)/H26),0,((H54-H26)/H26))</f>
        <v>0</v>
      </c>
      <c r="I82" s="7">
        <f>IF(ISERROR((I54-I26)/I26),0,((I54-I26)/I26))</f>
        <v>0</v>
      </c>
      <c r="J82" s="60">
        <f>IF(ISERROR((J54-J26)/J26),0,((J54-J26)/J26))</f>
        <v>0</v>
      </c>
      <c r="K82" s="7">
        <f>IF(ISERROR((K54-K26)/K26),0,((K54-K26)/K26))</f>
        <v>0</v>
      </c>
      <c r="L82" s="60">
        <f>IF(ISERROR((L54-L26)/L26),0,((L54-L26)/L26))</f>
        <v>0</v>
      </c>
      <c r="M82" s="7">
        <f>IF(ISERROR((M54-M26)/M26),0,((M54-M26)/M26))</f>
        <v>0</v>
      </c>
      <c r="N82" s="60">
        <f>IF(ISERROR((N54-N26)/N26),0,((N54-N26)/N26))</f>
        <v>0</v>
      </c>
      <c r="O82" s="7">
        <f>IF(ISERROR((O54-O26)/O26),0,((O54-O26)/O26))</f>
        <v>0</v>
      </c>
      <c r="P82" s="60">
        <f>IF(ISERROR((P54-P26)/P26),0,((P54-P26)/P26))</f>
        <v>0</v>
      </c>
      <c r="Q82" s="7">
        <f>IF(ISERROR((Q54-Q26)/Q26),0,((Q54-Q26)/Q26))</f>
        <v>0</v>
      </c>
      <c r="R82" s="60">
        <f>IF(ISERROR((R54-R26)/R26),0,((R54-R26)/R26))</f>
        <v>0</v>
      </c>
      <c r="S82" s="7">
        <f>IF(ISERROR((S54-S26)/S26),0,((S54-S26)/S26))</f>
        <v>0</v>
      </c>
      <c r="T82" s="60">
        <f>IF(ISERROR((T54-T26)/T26),0,((T54-T26)/T26))</f>
        <v>0</v>
      </c>
      <c r="U82" s="7">
        <f>IF(ISERROR((U54-U26)/U26),0,((U54-U26)/U26))</f>
        <v>0</v>
      </c>
      <c r="V82" s="60">
        <f>IF(ISERROR((V54-V26)/V26),0,((V54-V26)/V26))</f>
        <v>0</v>
      </c>
      <c r="W82" s="7">
        <f>IF(ISERROR((W54-W26)/W26),0,((W54-W26)/W26))</f>
        <v>0</v>
      </c>
      <c r="X82" s="60">
        <f>IF(ISERROR((X54-X26)/X26),0,((X54-X26)/X26))</f>
        <v>0</v>
      </c>
      <c r="Y82" s="7">
        <f>IF(ISERROR((Y54-Y26)/Y26),0,((Y54-Y26)/Y26))</f>
        <v>0</v>
      </c>
      <c r="Z82" s="60">
        <f>IF(ISERROR((Z54-Z26)/Z26),0,((Z54-Z26)/Z26))</f>
        <v>0</v>
      </c>
      <c r="AA82" s="7">
        <f>IF(ISERROR((AA54-AA26)/AA26),0,((AA54-AA26)/AA26))</f>
        <v>0</v>
      </c>
      <c r="AB82" s="60">
        <f>IF(ISERROR((AB54-AB26)/AB26),0,((AB54-AB26)/AB26))</f>
        <v>0</v>
      </c>
      <c r="AC82" s="7">
        <f>IF(ISERROR((AC54-AC26)/AC26),0,((AC54-AC26)/AC26))</f>
        <v>0</v>
      </c>
      <c r="AD82" s="60">
        <f>IF(ISERROR((AD54-AD26)/AD26),0,((AD54-AD26)/AD26))</f>
        <v>0</v>
      </c>
      <c r="AE82" s="7">
        <f>IF(ISERROR((AE54-AE26)/AE26),0,((AE54-AE26)/AE26))</f>
        <v>0</v>
      </c>
      <c r="AF82" s="60">
        <f>IF(ISERROR((AF54-AF26)/AF26),0,((AF54-AF26)/AF26))</f>
        <v>0</v>
      </c>
      <c r="AG82" s="7">
        <f>IF(ISERROR((AG54-AG26)/AG26),0,((AG54-AG26)/AG26))</f>
        <v>0</v>
      </c>
      <c r="AH82" s="60">
        <f>IF(ISERROR((AH54-AH26)/AH26),0,((AH54-AH26)/AH26))</f>
        <v>0</v>
      </c>
      <c r="AI82" s="7">
        <f>IF(ISERROR((AI54-AI26)/AI26),0,((AI54-AI26)/AI26))</f>
        <v>0</v>
      </c>
      <c r="AJ82" s="60">
        <f>IF(ISERROR((AJ54-AJ26)/AJ26),0,((AJ54-AJ26)/AJ26))</f>
        <v>0</v>
      </c>
      <c r="AK82" s="7">
        <f>IF(ISERROR((AK54-AK26)/AK26),0,((AK54-AK26)/AK26))</f>
        <v>0</v>
      </c>
      <c r="AL82" s="60">
        <f>IF(ISERROR((AL54-AL26)/AL26),0,((AL54-AL26)/AL26))</f>
        <v>0</v>
      </c>
      <c r="AM82" s="7">
        <f>IF(ISERROR((AM54-AM26)/AM26),0,((AM54-AM26)/AM26))</f>
        <v>0</v>
      </c>
      <c r="AN82" s="60">
        <f>IF(ISERROR((AN54-AN26)/AN26),0,((AN54-AN26)/AN26))</f>
        <v>0</v>
      </c>
      <c r="AO82" s="7">
        <f>IF(ISERROR((AO54-AO26)/AO26),0,((AO54-AO26)/AO26))</f>
        <v>0</v>
      </c>
      <c r="AP82" s="60">
        <f>IF(ISERROR((AP54-AP26)/AP26),0,((AP54-AP26)/AP26))</f>
        <v>0</v>
      </c>
      <c r="AQ82" s="7">
        <f>IF(ISERROR((AQ54-AQ26)/AQ26),0,((AQ54-AQ26)/AQ26))</f>
        <v>0</v>
      </c>
      <c r="AR82" s="60">
        <f>IF(ISERROR((AR54-AR26)/AR26),0,((AR54-AR26)/AR26))</f>
        <v>0</v>
      </c>
      <c r="AS82" s="7">
        <f>IF(ISERROR((AS54-AS26)/AS26),0,((AS54-AS26)/AS26))</f>
        <v>0</v>
      </c>
      <c r="AT82" s="60">
        <f>IF(ISERROR((AT54-AT26)/AT26),0,((AT54-AT26)/AT26))</f>
        <v>0</v>
      </c>
      <c r="AU82" s="7">
        <f>IF(ISERROR((AU54-AU26)/AU26),0,((AU54-AU26)/AU26))</f>
        <v>0</v>
      </c>
      <c r="AV82" s="60">
        <f>IF(ISERROR((AV54-AV26)/AV26),0,((AV54-AV26)/AV26))</f>
        <v>0</v>
      </c>
      <c r="AW82" s="7">
        <f>IF(ISERROR((AW54-AW26)/AW26),0,((AW54-AW26)/AW26))</f>
        <v>0</v>
      </c>
      <c r="AX82" s="60">
        <f>IF(ISERROR((AX54-AX26)/AX26),0,((AX54-AX26)/AX26))</f>
        <v>0</v>
      </c>
      <c r="AY82" s="7">
        <f>IF(ISERROR((AY54-AY26)/AY26),0,((AY54-AY26)/AY26))</f>
        <v>0</v>
      </c>
      <c r="AZ82" s="60">
        <f>IF(ISERROR((AZ54-AZ26)/AZ26),0,((AZ54-AZ26)/AZ26))</f>
        <v>0</v>
      </c>
      <c r="BA82" s="7">
        <f>IF(ISERROR((BA54-BA26)/BA26),0,((BA54-BA26)/BA26))</f>
        <v>0</v>
      </c>
      <c r="BB82" s="60">
        <f>IF(ISERROR((BB54-BB26)/BB26),0,((BB54-BB26)/BB26))</f>
        <v>0</v>
      </c>
      <c r="BC82" s="7">
        <f>IF(ISERROR((BC54-BC26)/BC26),0,((BC54-BC26)/BC26))</f>
        <v>0</v>
      </c>
      <c r="BD82" s="60">
        <f>IF(ISERROR((BD54-BD26)/BD26),0,((BD54-BD26)/BD26))</f>
        <v>0</v>
      </c>
      <c r="BE82" s="7">
        <f>IF(ISERROR((BE54-BE26)/BE26),0,((BE54-BE26)/BE26))</f>
        <v>0</v>
      </c>
      <c r="BF82" s="60">
        <f>IF(ISERROR((BF54-BF26)/BF26),0,((BF54-BF26)/BF26))</f>
        <v>0</v>
      </c>
      <c r="BG82" s="7">
        <f>IF(ISERROR((BG54-BG26)/BG26),0,((BG54-BG26)/BG26))</f>
        <v>0</v>
      </c>
      <c r="BH82" s="60">
        <f>IF(ISERROR((BH54-BH26)/BH26),0,((BH54-BH26)/BH26))</f>
        <v>0</v>
      </c>
      <c r="BI82" s="7">
        <f>IF(ISERROR((BI54-BI26)/BI26),0,((BI54-BI26)/BI26))</f>
        <v>0</v>
      </c>
      <c r="BJ82" s="60">
        <f>IF(ISERROR((BJ54-BJ26)/BJ26),0,((BJ54-BJ26)/BJ26))</f>
        <v>0</v>
      </c>
      <c r="BK82" s="7">
        <f>IF(ISERROR((BK54-BK26)/BK26),0,((BK54-BK26)/BK26))</f>
        <v>0</v>
      </c>
      <c r="BL82" s="60">
        <f>IF(ISERROR((BL54-BL26)/BL26),0,((BL54-BL26)/BL26))</f>
        <v>0</v>
      </c>
      <c r="BM82" s="7">
        <f>IF(ISERROR((BM54-BM26)/BM26),0,((BM54-BM26)/BM26))</f>
        <v>0</v>
      </c>
      <c r="BN82" s="60">
        <f>IF(ISERROR((BN54-BN26)/BN26),0,((BN54-BN26)/BN26))</f>
        <v>0</v>
      </c>
      <c r="BO82" s="100">
        <f t="shared" si="17"/>
        <v>0</v>
      </c>
      <c r="BP82" s="100">
        <f t="shared" si="18"/>
        <v>0</v>
      </c>
      <c r="BQ82" s="100">
        <f t="shared" si="19"/>
        <v>0</v>
      </c>
    </row>
    <row r="83" spans="1:69">
      <c r="A83" s="47">
        <f>A27</f>
        <v>200</v>
      </c>
      <c r="B83" s="30">
        <f t="shared" si="20"/>
        <v>0.02</v>
      </c>
      <c r="C83" s="7">
        <f>IF(ISERROR((C55-C27)/C27),0,((C55-C27)/C27))</f>
        <v>0</v>
      </c>
      <c r="D83" s="60">
        <f>IF(ISERROR((D55-D27)/D27),0,((D55-D27)/D27))</f>
        <v>0</v>
      </c>
      <c r="E83" s="7">
        <f>IF(ISERROR((E55-E27)/E27),0,((E55-E27)/E27))</f>
        <v>0</v>
      </c>
      <c r="F83" s="60">
        <f>IF(ISERROR((F55-F27)/F27),0,((F55-F27)/F27))</f>
        <v>0</v>
      </c>
      <c r="G83" s="7">
        <f>IF(ISERROR((G55-G27)/G27),0,((G55-G27)/G27))</f>
        <v>0</v>
      </c>
      <c r="H83" s="60">
        <f>IF(ISERROR((H55-H27)/H27),0,((H55-H27)/H27))</f>
        <v>0</v>
      </c>
      <c r="I83" s="7">
        <f>IF(ISERROR((I55-I27)/I27),0,((I55-I27)/I27))</f>
        <v>0</v>
      </c>
      <c r="J83" s="60">
        <f>IF(ISERROR((J55-J27)/J27),0,((J55-J27)/J27))</f>
        <v>0</v>
      </c>
      <c r="K83" s="7">
        <f>IF(ISERROR((K55-K27)/K27),0,((K55-K27)/K27))</f>
        <v>0</v>
      </c>
      <c r="L83" s="60">
        <f>IF(ISERROR((L55-L27)/L27),0,((L55-L27)/L27))</f>
        <v>0</v>
      </c>
      <c r="M83" s="7">
        <f>IF(ISERROR((M55-M27)/M27),0,((M55-M27)/M27))</f>
        <v>0</v>
      </c>
      <c r="N83" s="60">
        <f>IF(ISERROR((N55-N27)/N27),0,((N55-N27)/N27))</f>
        <v>0</v>
      </c>
      <c r="O83" s="7">
        <f>IF(ISERROR((O55-O27)/O27),0,((O55-O27)/O27))</f>
        <v>0</v>
      </c>
      <c r="P83" s="60">
        <f>IF(ISERROR((P55-P27)/P27),0,((P55-P27)/P27))</f>
        <v>0</v>
      </c>
      <c r="Q83" s="7">
        <f>IF(ISERROR((Q55-Q27)/Q27),0,((Q55-Q27)/Q27))</f>
        <v>0</v>
      </c>
      <c r="R83" s="60">
        <f>IF(ISERROR((R55-R27)/R27),0,((R55-R27)/R27))</f>
        <v>0</v>
      </c>
      <c r="S83" s="7">
        <f>IF(ISERROR((S55-S27)/S27),0,((S55-S27)/S27))</f>
        <v>0</v>
      </c>
      <c r="T83" s="60">
        <f>IF(ISERROR((T55-T27)/T27),0,((T55-T27)/T27))</f>
        <v>0</v>
      </c>
      <c r="U83" s="7">
        <f>IF(ISERROR((U55-U27)/U27),0,((U55-U27)/U27))</f>
        <v>0</v>
      </c>
      <c r="V83" s="60">
        <f>IF(ISERROR((V55-V27)/V27),0,((V55-V27)/V27))</f>
        <v>0</v>
      </c>
      <c r="W83" s="7">
        <f>IF(ISERROR((W55-W27)/W27),0,((W55-W27)/W27))</f>
        <v>0</v>
      </c>
      <c r="X83" s="60">
        <f>IF(ISERROR((X55-X27)/X27),0,((X55-X27)/X27))</f>
        <v>0</v>
      </c>
      <c r="Y83" s="7">
        <f>IF(ISERROR((Y55-Y27)/Y27),0,((Y55-Y27)/Y27))</f>
        <v>0</v>
      </c>
      <c r="Z83" s="60">
        <f>IF(ISERROR((Z55-Z27)/Z27),0,((Z55-Z27)/Z27))</f>
        <v>0</v>
      </c>
      <c r="AA83" s="7">
        <f>IF(ISERROR((AA55-AA27)/AA27),0,((AA55-AA27)/AA27))</f>
        <v>0</v>
      </c>
      <c r="AB83" s="60">
        <f>IF(ISERROR((AB55-AB27)/AB27),0,((AB55-AB27)/AB27))</f>
        <v>0</v>
      </c>
      <c r="AC83" s="7">
        <f>IF(ISERROR((AC55-AC27)/AC27),0,((AC55-AC27)/AC27))</f>
        <v>0</v>
      </c>
      <c r="AD83" s="60">
        <f>IF(ISERROR((AD55-AD27)/AD27),0,((AD55-AD27)/AD27))</f>
        <v>0</v>
      </c>
      <c r="AE83" s="7">
        <f>IF(ISERROR((AE55-AE27)/AE27),0,((AE55-AE27)/AE27))</f>
        <v>0</v>
      </c>
      <c r="AF83" s="60">
        <f>IF(ISERROR((AF55-AF27)/AF27),0,((AF55-AF27)/AF27))</f>
        <v>0</v>
      </c>
      <c r="AG83" s="7">
        <f>IF(ISERROR((AG55-AG27)/AG27),0,((AG55-AG27)/AG27))</f>
        <v>0</v>
      </c>
      <c r="AH83" s="60">
        <f>IF(ISERROR((AH55-AH27)/AH27),0,((AH55-AH27)/AH27))</f>
        <v>0</v>
      </c>
      <c r="AI83" s="7">
        <f>IF(ISERROR((AI55-AI27)/AI27),0,((AI55-AI27)/AI27))</f>
        <v>0</v>
      </c>
      <c r="AJ83" s="60">
        <f>IF(ISERROR((AJ55-AJ27)/AJ27),0,((AJ55-AJ27)/AJ27))</f>
        <v>0</v>
      </c>
      <c r="AK83" s="7">
        <f>IF(ISERROR((AK55-AK27)/AK27),0,((AK55-AK27)/AK27))</f>
        <v>0</v>
      </c>
      <c r="AL83" s="60">
        <f>IF(ISERROR((AL55-AL27)/AL27),0,((AL55-AL27)/AL27))</f>
        <v>0</v>
      </c>
      <c r="AM83" s="7">
        <f>IF(ISERROR((AM55-AM27)/AM27),0,((AM55-AM27)/AM27))</f>
        <v>0</v>
      </c>
      <c r="AN83" s="60">
        <f>IF(ISERROR((AN55-AN27)/AN27),0,((AN55-AN27)/AN27))</f>
        <v>0</v>
      </c>
      <c r="AO83" s="7">
        <f>IF(ISERROR((AO55-AO27)/AO27),0,((AO55-AO27)/AO27))</f>
        <v>0</v>
      </c>
      <c r="AP83" s="60">
        <f>IF(ISERROR((AP55-AP27)/AP27),0,((AP55-AP27)/AP27))</f>
        <v>0</v>
      </c>
      <c r="AQ83" s="7">
        <f>IF(ISERROR((AQ55-AQ27)/AQ27),0,((AQ55-AQ27)/AQ27))</f>
        <v>0</v>
      </c>
      <c r="AR83" s="60">
        <f>IF(ISERROR((AR55-AR27)/AR27),0,((AR55-AR27)/AR27))</f>
        <v>0</v>
      </c>
      <c r="AS83" s="7">
        <f>IF(ISERROR((AS55-AS27)/AS27),0,((AS55-AS27)/AS27))</f>
        <v>0</v>
      </c>
      <c r="AT83" s="60">
        <f>IF(ISERROR((AT55-AT27)/AT27),0,((AT55-AT27)/AT27))</f>
        <v>0</v>
      </c>
      <c r="AU83" s="7">
        <f>IF(ISERROR((AU55-AU27)/AU27),0,((AU55-AU27)/AU27))</f>
        <v>0</v>
      </c>
      <c r="AV83" s="60">
        <f>IF(ISERROR((AV55-AV27)/AV27),0,((AV55-AV27)/AV27))</f>
        <v>0</v>
      </c>
      <c r="AW83" s="7">
        <f>IF(ISERROR((AW55-AW27)/AW27),0,((AW55-AW27)/AW27))</f>
        <v>0</v>
      </c>
      <c r="AX83" s="60">
        <f>IF(ISERROR((AX55-AX27)/AX27),0,((AX55-AX27)/AX27))</f>
        <v>0</v>
      </c>
      <c r="AY83" s="7">
        <f>IF(ISERROR((AY55-AY27)/AY27),0,((AY55-AY27)/AY27))</f>
        <v>0</v>
      </c>
      <c r="AZ83" s="60">
        <f>IF(ISERROR((AZ55-AZ27)/AZ27),0,((AZ55-AZ27)/AZ27))</f>
        <v>0</v>
      </c>
      <c r="BA83" s="7">
        <f>IF(ISERROR((BA55-BA27)/BA27),0,((BA55-BA27)/BA27))</f>
        <v>0</v>
      </c>
      <c r="BB83" s="60">
        <f>IF(ISERROR((BB55-BB27)/BB27),0,((BB55-BB27)/BB27))</f>
        <v>0</v>
      </c>
      <c r="BC83" s="7">
        <f>IF(ISERROR((BC55-BC27)/BC27),0,((BC55-BC27)/BC27))</f>
        <v>0</v>
      </c>
      <c r="BD83" s="60">
        <f>IF(ISERROR((BD55-BD27)/BD27),0,((BD55-BD27)/BD27))</f>
        <v>0</v>
      </c>
      <c r="BE83" s="7">
        <f>IF(ISERROR((BE55-BE27)/BE27),0,((BE55-BE27)/BE27))</f>
        <v>0</v>
      </c>
      <c r="BF83" s="60">
        <f>IF(ISERROR((BF55-BF27)/BF27),0,((BF55-BF27)/BF27))</f>
        <v>0</v>
      </c>
      <c r="BG83" s="7">
        <f>IF(ISERROR((BG55-BG27)/BG27),0,((BG55-BG27)/BG27))</f>
        <v>0</v>
      </c>
      <c r="BH83" s="60">
        <f>IF(ISERROR((BH55-BH27)/BH27),0,((BH55-BH27)/BH27))</f>
        <v>0</v>
      </c>
      <c r="BI83" s="7">
        <f>IF(ISERROR((BI55-BI27)/BI27),0,((BI55-BI27)/BI27))</f>
        <v>0</v>
      </c>
      <c r="BJ83" s="60">
        <f>IF(ISERROR((BJ55-BJ27)/BJ27),0,((BJ55-BJ27)/BJ27))</f>
        <v>0</v>
      </c>
      <c r="BK83" s="7">
        <f>IF(ISERROR((BK55-BK27)/BK27),0,((BK55-BK27)/BK27))</f>
        <v>0</v>
      </c>
      <c r="BL83" s="60">
        <f>IF(ISERROR((BL55-BL27)/BL27),0,((BL55-BL27)/BL27))</f>
        <v>0</v>
      </c>
      <c r="BM83" s="7">
        <f>IF(ISERROR((BM55-BM27)/BM27),0,((BM55-BM27)/BM27))</f>
        <v>0</v>
      </c>
      <c r="BN83" s="60">
        <f>IF(ISERROR((BN55-BN27)/BN27),0,((BN55-BN27)/BN27))</f>
        <v>0</v>
      </c>
      <c r="BO83" s="100">
        <f t="shared" si="17"/>
        <v>0</v>
      </c>
      <c r="BP83" s="100">
        <f t="shared" si="18"/>
        <v>0</v>
      </c>
      <c r="BQ83" s="100">
        <f t="shared" si="19"/>
        <v>0</v>
      </c>
    </row>
    <row r="84" spans="1:69">
      <c r="A84" s="47">
        <f>A28</f>
        <v>200</v>
      </c>
      <c r="B84" s="30">
        <f t="shared" si="20"/>
        <v>0.03</v>
      </c>
      <c r="C84" s="7">
        <f>IF(ISERROR((C56-C28)/C28),0,((C56-C28)/C28))</f>
        <v>0</v>
      </c>
      <c r="D84" s="60">
        <f>IF(ISERROR((D56-D28)/D28),0,((D56-D28)/D28))</f>
        <v>0</v>
      </c>
      <c r="E84" s="7">
        <f>IF(ISERROR((E56-E28)/E28),0,((E56-E28)/E28))</f>
        <v>0</v>
      </c>
      <c r="F84" s="60">
        <f>IF(ISERROR((F56-F28)/F28),0,((F56-F28)/F28))</f>
        <v>0</v>
      </c>
      <c r="G84" s="7">
        <f>IF(ISERROR((G56-G28)/G28),0,((G56-G28)/G28))</f>
        <v>0</v>
      </c>
      <c r="H84" s="60">
        <f>IF(ISERROR((H56-H28)/H28),0,((H56-H28)/H28))</f>
        <v>0</v>
      </c>
      <c r="I84" s="7">
        <f>IF(ISERROR((I56-I28)/I28),0,((I56-I28)/I28))</f>
        <v>0</v>
      </c>
      <c r="J84" s="60">
        <f>IF(ISERROR((J56-J28)/J28),0,((J56-J28)/J28))</f>
        <v>0</v>
      </c>
      <c r="K84" s="7">
        <f>IF(ISERROR((K56-K28)/K28),0,((K56-K28)/K28))</f>
        <v>0</v>
      </c>
      <c r="L84" s="60">
        <f>IF(ISERROR((L56-L28)/L28),0,((L56-L28)/L28))</f>
        <v>0</v>
      </c>
      <c r="M84" s="7">
        <f>IF(ISERROR((M56-M28)/M28),0,((M56-M28)/M28))</f>
        <v>0</v>
      </c>
      <c r="N84" s="60">
        <f>IF(ISERROR((N56-N28)/N28),0,((N56-N28)/N28))</f>
        <v>0</v>
      </c>
      <c r="O84" s="7">
        <f>IF(ISERROR((O56-O28)/O28),0,((O56-O28)/O28))</f>
        <v>0</v>
      </c>
      <c r="P84" s="60">
        <f>IF(ISERROR((P56-P28)/P28),0,((P56-P28)/P28))</f>
        <v>0</v>
      </c>
      <c r="Q84" s="7">
        <f>IF(ISERROR((Q56-Q28)/Q28),0,((Q56-Q28)/Q28))</f>
        <v>0</v>
      </c>
      <c r="R84" s="60">
        <f>IF(ISERROR((R56-R28)/R28),0,((R56-R28)/R28))</f>
        <v>0</v>
      </c>
      <c r="S84" s="7">
        <f>IF(ISERROR((S56-S28)/S28),0,((S56-S28)/S28))</f>
        <v>0</v>
      </c>
      <c r="T84" s="60">
        <f>IF(ISERROR((T56-T28)/T28),0,((T56-T28)/T28))</f>
        <v>0</v>
      </c>
      <c r="U84" s="7">
        <f>IF(ISERROR((U56-U28)/U28),0,((U56-U28)/U28))</f>
        <v>0</v>
      </c>
      <c r="V84" s="60">
        <f>IF(ISERROR((V56-V28)/V28),0,((V56-V28)/V28))</f>
        <v>0</v>
      </c>
      <c r="W84" s="7">
        <f>IF(ISERROR((W56-W28)/W28),0,((W56-W28)/W28))</f>
        <v>0</v>
      </c>
      <c r="X84" s="60">
        <f>IF(ISERROR((X56-X28)/X28),0,((X56-X28)/X28))</f>
        <v>0</v>
      </c>
      <c r="Y84" s="7">
        <f>IF(ISERROR((Y56-Y28)/Y28),0,((Y56-Y28)/Y28))</f>
        <v>0</v>
      </c>
      <c r="Z84" s="60">
        <f>IF(ISERROR((Z56-Z28)/Z28),0,((Z56-Z28)/Z28))</f>
        <v>0</v>
      </c>
      <c r="AA84" s="7">
        <f>IF(ISERROR((AA56-AA28)/AA28),0,((AA56-AA28)/AA28))</f>
        <v>0</v>
      </c>
      <c r="AB84" s="60">
        <f>IF(ISERROR((AB56-AB28)/AB28),0,((AB56-AB28)/AB28))</f>
        <v>0</v>
      </c>
      <c r="AC84" s="7">
        <f>IF(ISERROR((AC56-AC28)/AC28),0,((AC56-AC28)/AC28))</f>
        <v>0</v>
      </c>
      <c r="AD84" s="60">
        <f>IF(ISERROR((AD56-AD28)/AD28),0,((AD56-AD28)/AD28))</f>
        <v>0</v>
      </c>
      <c r="AE84" s="7">
        <f>IF(ISERROR((AE56-AE28)/AE28),0,((AE56-AE28)/AE28))</f>
        <v>0</v>
      </c>
      <c r="AF84" s="60">
        <f>IF(ISERROR((AF56-AF28)/AF28),0,((AF56-AF28)/AF28))</f>
        <v>0</v>
      </c>
      <c r="AG84" s="7">
        <f>IF(ISERROR((AG56-AG28)/AG28),0,((AG56-AG28)/AG28))</f>
        <v>0</v>
      </c>
      <c r="AH84" s="60">
        <f>IF(ISERROR((AH56-AH28)/AH28),0,((AH56-AH28)/AH28))</f>
        <v>0</v>
      </c>
      <c r="AI84" s="7">
        <f>IF(ISERROR((AI56-AI28)/AI28),0,((AI56-AI28)/AI28))</f>
        <v>0</v>
      </c>
      <c r="AJ84" s="60">
        <f>IF(ISERROR((AJ56-AJ28)/AJ28),0,((AJ56-AJ28)/AJ28))</f>
        <v>0</v>
      </c>
      <c r="AK84" s="7">
        <f>IF(ISERROR((AK56-AK28)/AK28),0,((AK56-AK28)/AK28))</f>
        <v>0</v>
      </c>
      <c r="AL84" s="60">
        <f>IF(ISERROR((AL56-AL28)/AL28),0,((AL56-AL28)/AL28))</f>
        <v>0</v>
      </c>
      <c r="AM84" s="7">
        <f>IF(ISERROR((AM56-AM28)/AM28),0,((AM56-AM28)/AM28))</f>
        <v>0</v>
      </c>
      <c r="AN84" s="60">
        <f>IF(ISERROR((AN56-AN28)/AN28),0,((AN56-AN28)/AN28))</f>
        <v>0</v>
      </c>
      <c r="AO84" s="7">
        <f>IF(ISERROR((AO56-AO28)/AO28),0,((AO56-AO28)/AO28))</f>
        <v>0</v>
      </c>
      <c r="AP84" s="60">
        <f>IF(ISERROR((AP56-AP28)/AP28),0,((AP56-AP28)/AP28))</f>
        <v>0</v>
      </c>
      <c r="AQ84" s="7">
        <f>IF(ISERROR((AQ56-AQ28)/AQ28),0,((AQ56-AQ28)/AQ28))</f>
        <v>0</v>
      </c>
      <c r="AR84" s="60">
        <f>IF(ISERROR((AR56-AR28)/AR28),0,((AR56-AR28)/AR28))</f>
        <v>0</v>
      </c>
      <c r="AS84" s="7">
        <f>IF(ISERROR((AS56-AS28)/AS28),0,((AS56-AS28)/AS28))</f>
        <v>0</v>
      </c>
      <c r="AT84" s="60">
        <f>IF(ISERROR((AT56-AT28)/AT28),0,((AT56-AT28)/AT28))</f>
        <v>0</v>
      </c>
      <c r="AU84" s="7">
        <f>IF(ISERROR((AU56-AU28)/AU28),0,((AU56-AU28)/AU28))</f>
        <v>0</v>
      </c>
      <c r="AV84" s="60">
        <f>IF(ISERROR((AV56-AV28)/AV28),0,((AV56-AV28)/AV28))</f>
        <v>0</v>
      </c>
      <c r="AW84" s="7">
        <f>IF(ISERROR((AW56-AW28)/AW28),0,((AW56-AW28)/AW28))</f>
        <v>0</v>
      </c>
      <c r="AX84" s="60">
        <f>IF(ISERROR((AX56-AX28)/AX28),0,((AX56-AX28)/AX28))</f>
        <v>0</v>
      </c>
      <c r="AY84" s="7">
        <f>IF(ISERROR((AY56-AY28)/AY28),0,((AY56-AY28)/AY28))</f>
        <v>0</v>
      </c>
      <c r="AZ84" s="60">
        <f>IF(ISERROR((AZ56-AZ28)/AZ28),0,((AZ56-AZ28)/AZ28))</f>
        <v>0</v>
      </c>
      <c r="BA84" s="7">
        <f>IF(ISERROR((BA56-BA28)/BA28),0,((BA56-BA28)/BA28))</f>
        <v>0</v>
      </c>
      <c r="BB84" s="60">
        <f>IF(ISERROR((BB56-BB28)/BB28),0,((BB56-BB28)/BB28))</f>
        <v>0</v>
      </c>
      <c r="BC84" s="7">
        <f>IF(ISERROR((BC56-BC28)/BC28),0,((BC56-BC28)/BC28))</f>
        <v>0</v>
      </c>
      <c r="BD84" s="60">
        <f>IF(ISERROR((BD56-BD28)/BD28),0,((BD56-BD28)/BD28))</f>
        <v>0</v>
      </c>
      <c r="BE84" s="7">
        <f>IF(ISERROR((BE56-BE28)/BE28),0,((BE56-BE28)/BE28))</f>
        <v>0</v>
      </c>
      <c r="BF84" s="60">
        <f>IF(ISERROR((BF56-BF28)/BF28),0,((BF56-BF28)/BF28))</f>
        <v>0</v>
      </c>
      <c r="BG84" s="7">
        <f>IF(ISERROR((BG56-BG28)/BG28),0,((BG56-BG28)/BG28))</f>
        <v>0</v>
      </c>
      <c r="BH84" s="60">
        <f>IF(ISERROR((BH56-BH28)/BH28),0,((BH56-BH28)/BH28))</f>
        <v>0</v>
      </c>
      <c r="BI84" s="7">
        <f>IF(ISERROR((BI56-BI28)/BI28),0,((BI56-BI28)/BI28))</f>
        <v>0</v>
      </c>
      <c r="BJ84" s="60">
        <f>IF(ISERROR((BJ56-BJ28)/BJ28),0,((BJ56-BJ28)/BJ28))</f>
        <v>0</v>
      </c>
      <c r="BK84" s="7">
        <f>IF(ISERROR((BK56-BK28)/BK28),0,((BK56-BK28)/BK28))</f>
        <v>0</v>
      </c>
      <c r="BL84" s="60">
        <f>IF(ISERROR((BL56-BL28)/BL28),0,((BL56-BL28)/BL28))</f>
        <v>0</v>
      </c>
      <c r="BM84" s="7">
        <f>IF(ISERROR((BM56-BM28)/BM28),0,((BM56-BM28)/BM28))</f>
        <v>0</v>
      </c>
      <c r="BN84" s="60">
        <f>IF(ISERROR((BN56-BN28)/BN28),0,((BN56-BN28)/BN28))</f>
        <v>0</v>
      </c>
      <c r="BO84" s="100">
        <f t="shared" si="17"/>
        <v>0</v>
      </c>
      <c r="BP84" s="100">
        <f t="shared" si="18"/>
        <v>0</v>
      </c>
      <c r="BQ84" s="100">
        <f t="shared" si="19"/>
        <v>0</v>
      </c>
    </row>
    <row r="85" spans="1:69">
      <c r="A85" s="47">
        <f>A29</f>
        <v>200</v>
      </c>
      <c r="B85" s="30">
        <f t="shared" si="20"/>
        <v>0.05</v>
      </c>
      <c r="C85" s="7">
        <f>IF(ISERROR((C57-C29)/C29),0,((C57-C29)/C29))</f>
        <v>0</v>
      </c>
      <c r="D85" s="60">
        <f>IF(ISERROR((D57-D29)/D29),0,((D57-D29)/D29))</f>
        <v>0</v>
      </c>
      <c r="E85" s="7">
        <f>IF(ISERROR((E57-E29)/E29),0,((E57-E29)/E29))</f>
        <v>0</v>
      </c>
      <c r="F85" s="60">
        <f>IF(ISERROR((F57-F29)/F29),0,((F57-F29)/F29))</f>
        <v>0</v>
      </c>
      <c r="G85" s="7">
        <f>IF(ISERROR((G57-G29)/G29),0,((G57-G29)/G29))</f>
        <v>0</v>
      </c>
      <c r="H85" s="60">
        <f>IF(ISERROR((H57-H29)/H29),0,((H57-H29)/H29))</f>
        <v>0</v>
      </c>
      <c r="I85" s="7">
        <f>IF(ISERROR((I57-I29)/I29),0,((I57-I29)/I29))</f>
        <v>0</v>
      </c>
      <c r="J85" s="60">
        <f>IF(ISERROR((J57-J29)/J29),0,((J57-J29)/J29))</f>
        <v>0</v>
      </c>
      <c r="K85" s="7">
        <f>IF(ISERROR((K57-K29)/K29),0,((K57-K29)/K29))</f>
        <v>0</v>
      </c>
      <c r="L85" s="60">
        <f>IF(ISERROR((L57-L29)/L29),0,((L57-L29)/L29))</f>
        <v>0</v>
      </c>
      <c r="M85" s="7">
        <f>IF(ISERROR((M57-M29)/M29),0,((M57-M29)/M29))</f>
        <v>0</v>
      </c>
      <c r="N85" s="60">
        <f>IF(ISERROR((N57-N29)/N29),0,((N57-N29)/N29))</f>
        <v>0</v>
      </c>
      <c r="O85" s="7">
        <f>IF(ISERROR((O57-O29)/O29),0,((O57-O29)/O29))</f>
        <v>0</v>
      </c>
      <c r="P85" s="60">
        <f>IF(ISERROR((P57-P29)/P29),0,((P57-P29)/P29))</f>
        <v>0</v>
      </c>
      <c r="Q85" s="7">
        <f>IF(ISERROR((Q57-Q29)/Q29),0,((Q57-Q29)/Q29))</f>
        <v>0</v>
      </c>
      <c r="R85" s="60">
        <f>IF(ISERROR((R57-R29)/R29),0,((R57-R29)/R29))</f>
        <v>0</v>
      </c>
      <c r="S85" s="7">
        <f>IF(ISERROR((S57-S29)/S29),0,((S57-S29)/S29))</f>
        <v>0</v>
      </c>
      <c r="T85" s="60">
        <f>IF(ISERROR((T57-T29)/T29),0,((T57-T29)/T29))</f>
        <v>0</v>
      </c>
      <c r="U85" s="7">
        <f>IF(ISERROR((U57-U29)/U29),0,((U57-U29)/U29))</f>
        <v>0</v>
      </c>
      <c r="V85" s="60">
        <f>IF(ISERROR((V57-V29)/V29),0,((V57-V29)/V29))</f>
        <v>0</v>
      </c>
      <c r="W85" s="7">
        <f>IF(ISERROR((W57-W29)/W29),0,((W57-W29)/W29))</f>
        <v>0</v>
      </c>
      <c r="X85" s="60">
        <f>IF(ISERROR((X57-X29)/X29),0,((X57-X29)/X29))</f>
        <v>0</v>
      </c>
      <c r="Y85" s="7">
        <f>IF(ISERROR((Y57-Y29)/Y29),0,((Y57-Y29)/Y29))</f>
        <v>0</v>
      </c>
      <c r="Z85" s="60">
        <f>IF(ISERROR((Z57-Z29)/Z29),0,((Z57-Z29)/Z29))</f>
        <v>0</v>
      </c>
      <c r="AA85" s="7">
        <f>IF(ISERROR((AA57-AA29)/AA29),0,((AA57-AA29)/AA29))</f>
        <v>0</v>
      </c>
      <c r="AB85" s="60">
        <f>IF(ISERROR((AB57-AB29)/AB29),0,((AB57-AB29)/AB29))</f>
        <v>0</v>
      </c>
      <c r="AC85" s="7">
        <f>IF(ISERROR((AC57-AC29)/AC29),0,((AC57-AC29)/AC29))</f>
        <v>0</v>
      </c>
      <c r="AD85" s="60">
        <f>IF(ISERROR((AD57-AD29)/AD29),0,((AD57-AD29)/AD29))</f>
        <v>0</v>
      </c>
      <c r="AE85" s="7">
        <f>IF(ISERROR((AE57-AE29)/AE29),0,((AE57-AE29)/AE29))</f>
        <v>0</v>
      </c>
      <c r="AF85" s="60">
        <f>IF(ISERROR((AF57-AF29)/AF29),0,((AF57-AF29)/AF29))</f>
        <v>0</v>
      </c>
      <c r="AG85" s="7">
        <f>IF(ISERROR((AG57-AG29)/AG29),0,((AG57-AG29)/AG29))</f>
        <v>0</v>
      </c>
      <c r="AH85" s="60">
        <f>IF(ISERROR((AH57-AH29)/AH29),0,((AH57-AH29)/AH29))</f>
        <v>0</v>
      </c>
      <c r="AI85" s="7">
        <f>IF(ISERROR((AI57-AI29)/AI29),0,((AI57-AI29)/AI29))</f>
        <v>0</v>
      </c>
      <c r="AJ85" s="60">
        <f>IF(ISERROR((AJ57-AJ29)/AJ29),0,((AJ57-AJ29)/AJ29))</f>
        <v>0</v>
      </c>
      <c r="AK85" s="7">
        <f>IF(ISERROR((AK57-AK29)/AK29),0,((AK57-AK29)/AK29))</f>
        <v>0</v>
      </c>
      <c r="AL85" s="60">
        <f>IF(ISERROR((AL57-AL29)/AL29),0,((AL57-AL29)/AL29))</f>
        <v>0</v>
      </c>
      <c r="AM85" s="7">
        <f>IF(ISERROR((AM57-AM29)/AM29),0,((AM57-AM29)/AM29))</f>
        <v>0</v>
      </c>
      <c r="AN85" s="60">
        <f>IF(ISERROR((AN57-AN29)/AN29),0,((AN57-AN29)/AN29))</f>
        <v>0</v>
      </c>
      <c r="AO85" s="7">
        <f>IF(ISERROR((AO57-AO29)/AO29),0,((AO57-AO29)/AO29))</f>
        <v>0</v>
      </c>
      <c r="AP85" s="60">
        <f>IF(ISERROR((AP57-AP29)/AP29),0,((AP57-AP29)/AP29))</f>
        <v>0</v>
      </c>
      <c r="AQ85" s="7">
        <f>IF(ISERROR((AQ57-AQ29)/AQ29),0,((AQ57-AQ29)/AQ29))</f>
        <v>0</v>
      </c>
      <c r="AR85" s="60">
        <f>IF(ISERROR((AR57-AR29)/AR29),0,((AR57-AR29)/AR29))</f>
        <v>0</v>
      </c>
      <c r="AS85" s="7">
        <f>IF(ISERROR((AS57-AS29)/AS29),0,((AS57-AS29)/AS29))</f>
        <v>0</v>
      </c>
      <c r="AT85" s="60">
        <f>IF(ISERROR((AT57-AT29)/AT29),0,((AT57-AT29)/AT29))</f>
        <v>0</v>
      </c>
      <c r="AU85" s="7">
        <f>IF(ISERROR((AU57-AU29)/AU29),0,((AU57-AU29)/AU29))</f>
        <v>0</v>
      </c>
      <c r="AV85" s="60">
        <f>IF(ISERROR((AV57-AV29)/AV29),0,((AV57-AV29)/AV29))</f>
        <v>0</v>
      </c>
      <c r="AW85" s="7">
        <f>IF(ISERROR((AW57-AW29)/AW29),0,((AW57-AW29)/AW29))</f>
        <v>0</v>
      </c>
      <c r="AX85" s="60">
        <f>IF(ISERROR((AX57-AX29)/AX29),0,((AX57-AX29)/AX29))</f>
        <v>0</v>
      </c>
      <c r="AY85" s="7">
        <f>IF(ISERROR((AY57-AY29)/AY29),0,((AY57-AY29)/AY29))</f>
        <v>0</v>
      </c>
      <c r="AZ85" s="60">
        <f>IF(ISERROR((AZ57-AZ29)/AZ29),0,((AZ57-AZ29)/AZ29))</f>
        <v>0</v>
      </c>
      <c r="BA85" s="7">
        <f>IF(ISERROR((BA57-BA29)/BA29),0,((BA57-BA29)/BA29))</f>
        <v>0</v>
      </c>
      <c r="BB85" s="60">
        <f>IF(ISERROR((BB57-BB29)/BB29),0,((BB57-BB29)/BB29))</f>
        <v>0</v>
      </c>
      <c r="BC85" s="7">
        <f>IF(ISERROR((BC57-BC29)/BC29),0,((BC57-BC29)/BC29))</f>
        <v>0</v>
      </c>
      <c r="BD85" s="60">
        <f>IF(ISERROR((BD57-BD29)/BD29),0,((BD57-BD29)/BD29))</f>
        <v>0</v>
      </c>
      <c r="BE85" s="7">
        <f>IF(ISERROR((BE57-BE29)/BE29),0,((BE57-BE29)/BE29))</f>
        <v>0</v>
      </c>
      <c r="BF85" s="60">
        <f>IF(ISERROR((BF57-BF29)/BF29),0,((BF57-BF29)/BF29))</f>
        <v>0</v>
      </c>
      <c r="BG85" s="7">
        <f>IF(ISERROR((BG57-BG29)/BG29),0,((BG57-BG29)/BG29))</f>
        <v>0</v>
      </c>
      <c r="BH85" s="60">
        <f>IF(ISERROR((BH57-BH29)/BH29),0,((BH57-BH29)/BH29))</f>
        <v>0</v>
      </c>
      <c r="BI85" s="7">
        <f>IF(ISERROR((BI57-BI29)/BI29),0,((BI57-BI29)/BI29))</f>
        <v>0</v>
      </c>
      <c r="BJ85" s="60">
        <f>IF(ISERROR((BJ57-BJ29)/BJ29),0,((BJ57-BJ29)/BJ29))</f>
        <v>0</v>
      </c>
      <c r="BK85" s="7">
        <f>IF(ISERROR((BK57-BK29)/BK29),0,((BK57-BK29)/BK29))</f>
        <v>0</v>
      </c>
      <c r="BL85" s="60">
        <f>IF(ISERROR((BL57-BL29)/BL29),0,((BL57-BL29)/BL29))</f>
        <v>0</v>
      </c>
      <c r="BM85" s="7">
        <f>IF(ISERROR((BM57-BM29)/BM29),0,((BM57-BM29)/BM29))</f>
        <v>0</v>
      </c>
      <c r="BN85" s="60">
        <f>IF(ISERROR((BN57-BN29)/BN29),0,((BN57-BN29)/BN29))</f>
        <v>0</v>
      </c>
      <c r="BO85" s="100">
        <f t="shared" si="17"/>
        <v>0</v>
      </c>
      <c r="BP85" s="100">
        <f t="shared" si="18"/>
        <v>0</v>
      </c>
      <c r="BQ85" s="100">
        <f t="shared" si="19"/>
        <v>0</v>
      </c>
    </row>
    <row r="86" spans="1:69">
      <c r="A86" s="47">
        <f>A30</f>
        <v>200</v>
      </c>
      <c r="B86" s="30">
        <f t="shared" si="20"/>
        <v>7.0000000000000007E-2</v>
      </c>
      <c r="C86" s="7">
        <f>IF(ISERROR((C58-C30)/C30),0,((C58-C30)/C30))</f>
        <v>0</v>
      </c>
      <c r="D86" s="60">
        <f>IF(ISERROR((D58-D30)/D30),0,((D58-D30)/D30))</f>
        <v>0</v>
      </c>
      <c r="E86" s="7">
        <f>IF(ISERROR((E58-E30)/E30),0,((E58-E30)/E30))</f>
        <v>0</v>
      </c>
      <c r="F86" s="60">
        <f>IF(ISERROR((F58-F30)/F30),0,((F58-F30)/F30))</f>
        <v>0</v>
      </c>
      <c r="G86" s="7">
        <f>IF(ISERROR((G58-G30)/G30),0,((G58-G30)/G30))</f>
        <v>0</v>
      </c>
      <c r="H86" s="60">
        <f>IF(ISERROR((H58-H30)/H30),0,((H58-H30)/H30))</f>
        <v>0</v>
      </c>
      <c r="I86" s="7">
        <f>IF(ISERROR((I58-I30)/I30),0,((I58-I30)/I30))</f>
        <v>0</v>
      </c>
      <c r="J86" s="60">
        <f>IF(ISERROR((J58-J30)/J30),0,((J58-J30)/J30))</f>
        <v>0</v>
      </c>
      <c r="K86" s="7">
        <f>IF(ISERROR((K58-K30)/K30),0,((K58-K30)/K30))</f>
        <v>0</v>
      </c>
      <c r="L86" s="60">
        <f>IF(ISERROR((L58-L30)/L30),0,((L58-L30)/L30))</f>
        <v>0</v>
      </c>
      <c r="M86" s="7">
        <f>IF(ISERROR((M58-M30)/M30),0,((M58-M30)/M30))</f>
        <v>0</v>
      </c>
      <c r="N86" s="60">
        <f>IF(ISERROR((N58-N30)/N30),0,((N58-N30)/N30))</f>
        <v>0</v>
      </c>
      <c r="O86" s="7">
        <f>IF(ISERROR((O58-O30)/O30),0,((O58-O30)/O30))</f>
        <v>0</v>
      </c>
      <c r="P86" s="60">
        <f>IF(ISERROR((P58-P30)/P30),0,((P58-P30)/P30))</f>
        <v>0</v>
      </c>
      <c r="Q86" s="7">
        <f>IF(ISERROR((Q58-Q30)/Q30),0,((Q58-Q30)/Q30))</f>
        <v>0</v>
      </c>
      <c r="R86" s="60">
        <f>IF(ISERROR((R58-R30)/R30),0,((R58-R30)/R30))</f>
        <v>0</v>
      </c>
      <c r="S86" s="7">
        <f>IF(ISERROR((S58-S30)/S30),0,((S58-S30)/S30))</f>
        <v>0</v>
      </c>
      <c r="T86" s="60">
        <f>IF(ISERROR((T58-T30)/T30),0,((T58-T30)/T30))</f>
        <v>0</v>
      </c>
      <c r="U86" s="7">
        <f>IF(ISERROR((U58-U30)/U30),0,((U58-U30)/U30))</f>
        <v>0</v>
      </c>
      <c r="V86" s="60">
        <f>IF(ISERROR((V58-V30)/V30),0,((V58-V30)/V30))</f>
        <v>0</v>
      </c>
      <c r="W86" s="7">
        <f>IF(ISERROR((W58-W30)/W30),0,((W58-W30)/W30))</f>
        <v>0</v>
      </c>
      <c r="X86" s="60">
        <f>IF(ISERROR((X58-X30)/X30),0,((X58-X30)/X30))</f>
        <v>0</v>
      </c>
      <c r="Y86" s="7">
        <f>IF(ISERROR((Y58-Y30)/Y30),0,((Y58-Y30)/Y30))</f>
        <v>0</v>
      </c>
      <c r="Z86" s="60">
        <f>IF(ISERROR((Z58-Z30)/Z30),0,((Z58-Z30)/Z30))</f>
        <v>0</v>
      </c>
      <c r="AA86" s="7">
        <f>IF(ISERROR((AA58-AA30)/AA30),0,((AA58-AA30)/AA30))</f>
        <v>0</v>
      </c>
      <c r="AB86" s="60">
        <f>IF(ISERROR((AB58-AB30)/AB30),0,((AB58-AB30)/AB30))</f>
        <v>0</v>
      </c>
      <c r="AC86" s="7">
        <f>IF(ISERROR((AC58-AC30)/AC30),0,((AC58-AC30)/AC30))</f>
        <v>0</v>
      </c>
      <c r="AD86" s="60">
        <f>IF(ISERROR((AD58-AD30)/AD30),0,((AD58-AD30)/AD30))</f>
        <v>0</v>
      </c>
      <c r="AE86" s="7">
        <f>IF(ISERROR((AE58-AE30)/AE30),0,((AE58-AE30)/AE30))</f>
        <v>0</v>
      </c>
      <c r="AF86" s="60">
        <f>IF(ISERROR((AF58-AF30)/AF30),0,((AF58-AF30)/AF30))</f>
        <v>0</v>
      </c>
      <c r="AG86" s="7">
        <f>IF(ISERROR((AG58-AG30)/AG30),0,((AG58-AG30)/AG30))</f>
        <v>0</v>
      </c>
      <c r="AH86" s="60">
        <f>IF(ISERROR((AH58-AH30)/AH30),0,((AH58-AH30)/AH30))</f>
        <v>0</v>
      </c>
      <c r="AI86" s="7">
        <f>IF(ISERROR((AI58-AI30)/AI30),0,((AI58-AI30)/AI30))</f>
        <v>0</v>
      </c>
      <c r="AJ86" s="60">
        <f>IF(ISERROR((AJ58-AJ30)/AJ30),0,((AJ58-AJ30)/AJ30))</f>
        <v>0</v>
      </c>
      <c r="AK86" s="7">
        <f>IF(ISERROR((AK58-AK30)/AK30),0,((AK58-AK30)/AK30))</f>
        <v>0</v>
      </c>
      <c r="AL86" s="60">
        <f>IF(ISERROR((AL58-AL30)/AL30),0,((AL58-AL30)/AL30))</f>
        <v>0</v>
      </c>
      <c r="AM86" s="7">
        <f>IF(ISERROR((AM58-AM30)/AM30),0,((AM58-AM30)/AM30))</f>
        <v>0</v>
      </c>
      <c r="AN86" s="60">
        <f>IF(ISERROR((AN58-AN30)/AN30),0,((AN58-AN30)/AN30))</f>
        <v>0</v>
      </c>
      <c r="AO86" s="7">
        <f>IF(ISERROR((AO58-AO30)/AO30),0,((AO58-AO30)/AO30))</f>
        <v>0</v>
      </c>
      <c r="AP86" s="60">
        <f>IF(ISERROR((AP58-AP30)/AP30),0,((AP58-AP30)/AP30))</f>
        <v>0</v>
      </c>
      <c r="AQ86" s="7">
        <f>IF(ISERROR((AQ58-AQ30)/AQ30),0,((AQ58-AQ30)/AQ30))</f>
        <v>0</v>
      </c>
      <c r="AR86" s="60">
        <f>IF(ISERROR((AR58-AR30)/AR30),0,((AR58-AR30)/AR30))</f>
        <v>0</v>
      </c>
      <c r="AS86" s="7">
        <f>IF(ISERROR((AS58-AS30)/AS30),0,((AS58-AS30)/AS30))</f>
        <v>0</v>
      </c>
      <c r="AT86" s="60">
        <f>IF(ISERROR((AT58-AT30)/AT30),0,((AT58-AT30)/AT30))</f>
        <v>0</v>
      </c>
      <c r="AU86" s="7">
        <f>IF(ISERROR((AU58-AU30)/AU30),0,((AU58-AU30)/AU30))</f>
        <v>0</v>
      </c>
      <c r="AV86" s="60">
        <f>IF(ISERROR((AV58-AV30)/AV30),0,((AV58-AV30)/AV30))</f>
        <v>0</v>
      </c>
      <c r="AW86" s="7">
        <f>IF(ISERROR((AW58-AW30)/AW30),0,((AW58-AW30)/AW30))</f>
        <v>0</v>
      </c>
      <c r="AX86" s="60">
        <f>IF(ISERROR((AX58-AX30)/AX30),0,((AX58-AX30)/AX30))</f>
        <v>0</v>
      </c>
      <c r="AY86" s="7">
        <f>IF(ISERROR((AY58-AY30)/AY30),0,((AY58-AY30)/AY30))</f>
        <v>0</v>
      </c>
      <c r="AZ86" s="60">
        <f>IF(ISERROR((AZ58-AZ30)/AZ30),0,((AZ58-AZ30)/AZ30))</f>
        <v>0</v>
      </c>
      <c r="BA86" s="7">
        <f>IF(ISERROR((BA58-BA30)/BA30),0,((BA58-BA30)/BA30))</f>
        <v>0</v>
      </c>
      <c r="BB86" s="60">
        <f>IF(ISERROR((BB58-BB30)/BB30),0,((BB58-BB30)/BB30))</f>
        <v>0</v>
      </c>
      <c r="BC86" s="7">
        <f>IF(ISERROR((BC58-BC30)/BC30),0,((BC58-BC30)/BC30))</f>
        <v>0</v>
      </c>
      <c r="BD86" s="60">
        <f>IF(ISERROR((BD58-BD30)/BD30),0,((BD58-BD30)/BD30))</f>
        <v>0</v>
      </c>
      <c r="BE86" s="7">
        <f>IF(ISERROR((BE58-BE30)/BE30),0,((BE58-BE30)/BE30))</f>
        <v>0</v>
      </c>
      <c r="BF86" s="60">
        <f>IF(ISERROR((BF58-BF30)/BF30),0,((BF58-BF30)/BF30))</f>
        <v>0</v>
      </c>
      <c r="BG86" s="7">
        <f>IF(ISERROR((BG58-BG30)/BG30),0,((BG58-BG30)/BG30))</f>
        <v>0</v>
      </c>
      <c r="BH86" s="60">
        <f>IF(ISERROR((BH58-BH30)/BH30),0,((BH58-BH30)/BH30))</f>
        <v>0</v>
      </c>
      <c r="BI86" s="7">
        <f>IF(ISERROR((BI58-BI30)/BI30),0,((BI58-BI30)/BI30))</f>
        <v>0</v>
      </c>
      <c r="BJ86" s="60">
        <f>IF(ISERROR((BJ58-BJ30)/BJ30),0,((BJ58-BJ30)/BJ30))</f>
        <v>0</v>
      </c>
      <c r="BK86" s="7">
        <f>IF(ISERROR((BK58-BK30)/BK30),0,((BK58-BK30)/BK30))</f>
        <v>0</v>
      </c>
      <c r="BL86" s="60">
        <f>IF(ISERROR((BL58-BL30)/BL30),0,((BL58-BL30)/BL30))</f>
        <v>0</v>
      </c>
      <c r="BM86" s="7">
        <f>IF(ISERROR((BM58-BM30)/BM30),0,((BM58-BM30)/BM30))</f>
        <v>0</v>
      </c>
      <c r="BN86" s="60">
        <f>IF(ISERROR((BN58-BN30)/BN30),0,((BN58-BN30)/BN30))</f>
        <v>0</v>
      </c>
      <c r="BO86" s="100">
        <f t="shared" si="17"/>
        <v>0</v>
      </c>
      <c r="BP86" s="100">
        <f t="shared" si="18"/>
        <v>0</v>
      </c>
      <c r="BQ86" s="100">
        <f t="shared" si="19"/>
        <v>0</v>
      </c>
    </row>
    <row r="87" spans="1:69">
      <c r="A87" s="47">
        <f>A31</f>
        <v>200</v>
      </c>
      <c r="B87" s="30">
        <f t="shared" si="20"/>
        <v>0.1</v>
      </c>
      <c r="C87" s="7">
        <f>IF(ISERROR((C59-C31)/C31),0,((C59-C31)/C31))</f>
        <v>0</v>
      </c>
      <c r="D87" s="60">
        <f>IF(ISERROR((D59-D31)/D31),0,((D59-D31)/D31))</f>
        <v>0</v>
      </c>
      <c r="E87" s="7">
        <f>IF(ISERROR((E59-E31)/E31),0,((E59-E31)/E31))</f>
        <v>0</v>
      </c>
      <c r="F87" s="60">
        <f>IF(ISERROR((F59-F31)/F31),0,((F59-F31)/F31))</f>
        <v>0</v>
      </c>
      <c r="G87" s="7">
        <f>IF(ISERROR((G59-G31)/G31),0,((G59-G31)/G31))</f>
        <v>0</v>
      </c>
      <c r="H87" s="60">
        <f>IF(ISERROR((H59-H31)/H31),0,((H59-H31)/H31))</f>
        <v>0</v>
      </c>
      <c r="I87" s="7">
        <f>IF(ISERROR((I59-I31)/I31),0,((I59-I31)/I31))</f>
        <v>0</v>
      </c>
      <c r="J87" s="60">
        <f>IF(ISERROR((J59-J31)/J31),0,((J59-J31)/J31))</f>
        <v>0</v>
      </c>
      <c r="K87" s="7">
        <f>IF(ISERROR((K59-K31)/K31),0,((K59-K31)/K31))</f>
        <v>0</v>
      </c>
      <c r="L87" s="60">
        <f>IF(ISERROR((L59-L31)/L31),0,((L59-L31)/L31))</f>
        <v>0</v>
      </c>
      <c r="M87" s="7">
        <f>IF(ISERROR((M59-M31)/M31),0,((M59-M31)/M31))</f>
        <v>0</v>
      </c>
      <c r="N87" s="60">
        <f>IF(ISERROR((N59-N31)/N31),0,((N59-N31)/N31))</f>
        <v>0</v>
      </c>
      <c r="O87" s="7">
        <f>IF(ISERROR((O59-O31)/O31),0,((O59-O31)/O31))</f>
        <v>0</v>
      </c>
      <c r="P87" s="60">
        <f>IF(ISERROR((P59-P31)/P31),0,((P59-P31)/P31))</f>
        <v>0</v>
      </c>
      <c r="Q87" s="7">
        <f>IF(ISERROR((Q59-Q31)/Q31),0,((Q59-Q31)/Q31))</f>
        <v>0</v>
      </c>
      <c r="R87" s="60">
        <f>IF(ISERROR((R59-R31)/R31),0,((R59-R31)/R31))</f>
        <v>0</v>
      </c>
      <c r="S87" s="7">
        <f>IF(ISERROR((S59-S31)/S31),0,((S59-S31)/S31))</f>
        <v>0</v>
      </c>
      <c r="T87" s="60">
        <f>IF(ISERROR((T59-T31)/T31),0,((T59-T31)/T31))</f>
        <v>0</v>
      </c>
      <c r="U87" s="7">
        <f>IF(ISERROR((U59-U31)/U31),0,((U59-U31)/U31))</f>
        <v>0</v>
      </c>
      <c r="V87" s="60">
        <f>IF(ISERROR((V59-V31)/V31),0,((V59-V31)/V31))</f>
        <v>0</v>
      </c>
      <c r="W87" s="7">
        <f>IF(ISERROR((W59-W31)/W31),0,((W59-W31)/W31))</f>
        <v>0</v>
      </c>
      <c r="X87" s="60">
        <f>IF(ISERROR((X59-X31)/X31),0,((X59-X31)/X31))</f>
        <v>0</v>
      </c>
      <c r="Y87" s="7">
        <f>IF(ISERROR((Y59-Y31)/Y31),0,((Y59-Y31)/Y31))</f>
        <v>0</v>
      </c>
      <c r="Z87" s="60">
        <f>IF(ISERROR((Z59-Z31)/Z31),0,((Z59-Z31)/Z31))</f>
        <v>0</v>
      </c>
      <c r="AA87" s="7">
        <f>IF(ISERROR((AA59-AA31)/AA31),0,((AA59-AA31)/AA31))</f>
        <v>0</v>
      </c>
      <c r="AB87" s="60">
        <f>IF(ISERROR((AB59-AB31)/AB31),0,((AB59-AB31)/AB31))</f>
        <v>0</v>
      </c>
      <c r="AC87" s="7">
        <f>IF(ISERROR((AC59-AC31)/AC31),0,((AC59-AC31)/AC31))</f>
        <v>0</v>
      </c>
      <c r="AD87" s="60">
        <f>IF(ISERROR((AD59-AD31)/AD31),0,((AD59-AD31)/AD31))</f>
        <v>0</v>
      </c>
      <c r="AE87" s="7">
        <f>IF(ISERROR((AE59-AE31)/AE31),0,((AE59-AE31)/AE31))</f>
        <v>0</v>
      </c>
      <c r="AF87" s="60">
        <f>IF(ISERROR((AF59-AF31)/AF31),0,((AF59-AF31)/AF31))</f>
        <v>0</v>
      </c>
      <c r="AG87" s="7">
        <f>IF(ISERROR((AG59-AG31)/AG31),0,((AG59-AG31)/AG31))</f>
        <v>0</v>
      </c>
      <c r="AH87" s="60">
        <f>IF(ISERROR((AH59-AH31)/AH31),0,((AH59-AH31)/AH31))</f>
        <v>0</v>
      </c>
      <c r="AI87" s="7">
        <f>IF(ISERROR((AI59-AI31)/AI31),0,((AI59-AI31)/AI31))</f>
        <v>0</v>
      </c>
      <c r="AJ87" s="60">
        <f>IF(ISERROR((AJ59-AJ31)/AJ31),0,((AJ59-AJ31)/AJ31))</f>
        <v>0</v>
      </c>
      <c r="AK87" s="7">
        <f>IF(ISERROR((AK59-AK31)/AK31),0,((AK59-AK31)/AK31))</f>
        <v>0</v>
      </c>
      <c r="AL87" s="60">
        <f>IF(ISERROR((AL59-AL31)/AL31),0,((AL59-AL31)/AL31))</f>
        <v>0</v>
      </c>
      <c r="AM87" s="7">
        <f>IF(ISERROR((AM59-AM31)/AM31),0,((AM59-AM31)/AM31))</f>
        <v>0</v>
      </c>
      <c r="AN87" s="60">
        <f>IF(ISERROR((AN59-AN31)/AN31),0,((AN59-AN31)/AN31))</f>
        <v>0</v>
      </c>
      <c r="AO87" s="7">
        <f>IF(ISERROR((AO59-AO31)/AO31),0,((AO59-AO31)/AO31))</f>
        <v>0</v>
      </c>
      <c r="AP87" s="60">
        <f>IF(ISERROR((AP59-AP31)/AP31),0,((AP59-AP31)/AP31))</f>
        <v>0</v>
      </c>
      <c r="AQ87" s="7">
        <f>IF(ISERROR((AQ59-AQ31)/AQ31),0,((AQ59-AQ31)/AQ31))</f>
        <v>0</v>
      </c>
      <c r="AR87" s="60">
        <f>IF(ISERROR((AR59-AR31)/AR31),0,((AR59-AR31)/AR31))</f>
        <v>0</v>
      </c>
      <c r="AS87" s="7">
        <f>IF(ISERROR((AS59-AS31)/AS31),0,((AS59-AS31)/AS31))</f>
        <v>0</v>
      </c>
      <c r="AT87" s="60">
        <f>IF(ISERROR((AT59-AT31)/AT31),0,((AT59-AT31)/AT31))</f>
        <v>0</v>
      </c>
      <c r="AU87" s="7">
        <f>IF(ISERROR((AU59-AU31)/AU31),0,((AU59-AU31)/AU31))</f>
        <v>0</v>
      </c>
      <c r="AV87" s="60">
        <f>IF(ISERROR((AV59-AV31)/AV31),0,((AV59-AV31)/AV31))</f>
        <v>0</v>
      </c>
      <c r="AW87" s="7">
        <f>IF(ISERROR((AW59-AW31)/AW31),0,((AW59-AW31)/AW31))</f>
        <v>0</v>
      </c>
      <c r="AX87" s="60">
        <f>IF(ISERROR((AX59-AX31)/AX31),0,((AX59-AX31)/AX31))</f>
        <v>0</v>
      </c>
      <c r="AY87" s="7">
        <f>IF(ISERROR((AY59-AY31)/AY31),0,((AY59-AY31)/AY31))</f>
        <v>0</v>
      </c>
      <c r="AZ87" s="60">
        <f>IF(ISERROR((AZ59-AZ31)/AZ31),0,((AZ59-AZ31)/AZ31))</f>
        <v>0</v>
      </c>
      <c r="BA87" s="7">
        <f>IF(ISERROR((BA59-BA31)/BA31),0,((BA59-BA31)/BA31))</f>
        <v>0</v>
      </c>
      <c r="BB87" s="60">
        <f>IF(ISERROR((BB59-BB31)/BB31),0,((BB59-BB31)/BB31))</f>
        <v>0</v>
      </c>
      <c r="BC87" s="7">
        <f>IF(ISERROR((BC59-BC31)/BC31),0,((BC59-BC31)/BC31))</f>
        <v>0</v>
      </c>
      <c r="BD87" s="60">
        <f>IF(ISERROR((BD59-BD31)/BD31),0,((BD59-BD31)/BD31))</f>
        <v>0</v>
      </c>
      <c r="BE87" s="7">
        <f>IF(ISERROR((BE59-BE31)/BE31),0,((BE59-BE31)/BE31))</f>
        <v>0</v>
      </c>
      <c r="BF87" s="60">
        <f>IF(ISERROR((BF59-BF31)/BF31),0,((BF59-BF31)/BF31))</f>
        <v>0</v>
      </c>
      <c r="BG87" s="7">
        <f>IF(ISERROR((BG59-BG31)/BG31),0,((BG59-BG31)/BG31))</f>
        <v>0</v>
      </c>
      <c r="BH87" s="60">
        <f>IF(ISERROR((BH59-BH31)/BH31),0,((BH59-BH31)/BH31))</f>
        <v>0</v>
      </c>
      <c r="BI87" s="7">
        <f>IF(ISERROR((BI59-BI31)/BI31),0,((BI59-BI31)/BI31))</f>
        <v>0</v>
      </c>
      <c r="BJ87" s="60">
        <f>IF(ISERROR((BJ59-BJ31)/BJ31),0,((BJ59-BJ31)/BJ31))</f>
        <v>0</v>
      </c>
      <c r="BK87" s="7">
        <f>IF(ISERROR((BK59-BK31)/BK31),0,((BK59-BK31)/BK31))</f>
        <v>0</v>
      </c>
      <c r="BL87" s="60">
        <f>IF(ISERROR((BL59-BL31)/BL31),0,((BL59-BL31)/BL31))</f>
        <v>0</v>
      </c>
      <c r="BM87" s="7">
        <f>IF(ISERROR((BM59-BM31)/BM31),0,((BM59-BM31)/BM31))</f>
        <v>0</v>
      </c>
      <c r="BN87" s="60">
        <f>IF(ISERROR((BN59-BN31)/BN31),0,((BN59-BN31)/BN31))</f>
        <v>0</v>
      </c>
      <c r="BO87" s="100">
        <f t="shared" si="17"/>
        <v>0</v>
      </c>
      <c r="BP87" s="100">
        <f t="shared" si="18"/>
        <v>0</v>
      </c>
      <c r="BQ87" s="100">
        <f t="shared" si="19"/>
        <v>0</v>
      </c>
    </row>
    <row r="88" spans="1:69">
      <c r="A88" s="47">
        <f>A32</f>
        <v>200</v>
      </c>
      <c r="B88" s="30">
        <f t="shared" si="20"/>
        <v>0.2</v>
      </c>
      <c r="C88" s="7">
        <f>IF(ISERROR((C60-C32)/C32),0,((C60-C32)/C32))</f>
        <v>0</v>
      </c>
      <c r="D88" s="60">
        <f>IF(ISERROR((D60-D32)/D32),0,((D60-D32)/D32))</f>
        <v>0</v>
      </c>
      <c r="E88" s="7">
        <f>IF(ISERROR((E60-E32)/E32),0,((E60-E32)/E32))</f>
        <v>0</v>
      </c>
      <c r="F88" s="60">
        <f>IF(ISERROR((F60-F32)/F32),0,((F60-F32)/F32))</f>
        <v>0</v>
      </c>
      <c r="G88" s="7">
        <f>IF(ISERROR((G60-G32)/G32),0,((G60-G32)/G32))</f>
        <v>0</v>
      </c>
      <c r="H88" s="60">
        <f>IF(ISERROR((H60-H32)/H32),0,((H60-H32)/H32))</f>
        <v>0</v>
      </c>
      <c r="I88" s="7">
        <f>IF(ISERROR((I60-I32)/I32),0,((I60-I32)/I32))</f>
        <v>0</v>
      </c>
      <c r="J88" s="60">
        <f>IF(ISERROR((J60-J32)/J32),0,((J60-J32)/J32))</f>
        <v>0</v>
      </c>
      <c r="K88" s="7">
        <f>IF(ISERROR((K60-K32)/K32),0,((K60-K32)/K32))</f>
        <v>0</v>
      </c>
      <c r="L88" s="60">
        <f>IF(ISERROR((L60-L32)/L32),0,((L60-L32)/L32))</f>
        <v>0</v>
      </c>
      <c r="M88" s="7">
        <f>IF(ISERROR((M60-M32)/M32),0,((M60-M32)/M32))</f>
        <v>0</v>
      </c>
      <c r="N88" s="60">
        <f>IF(ISERROR((N60-N32)/N32),0,((N60-N32)/N32))</f>
        <v>0</v>
      </c>
      <c r="O88" s="7">
        <f>IF(ISERROR((O60-O32)/O32),0,((O60-O32)/O32))</f>
        <v>0</v>
      </c>
      <c r="P88" s="60">
        <f>IF(ISERROR((P60-P32)/P32),0,((P60-P32)/P32))</f>
        <v>0</v>
      </c>
      <c r="Q88" s="7">
        <f>IF(ISERROR((Q60-Q32)/Q32),0,((Q60-Q32)/Q32))</f>
        <v>0</v>
      </c>
      <c r="R88" s="60">
        <f>IF(ISERROR((R60-R32)/R32),0,((R60-R32)/R32))</f>
        <v>0</v>
      </c>
      <c r="S88" s="7">
        <f>IF(ISERROR((S60-S32)/S32),0,((S60-S32)/S32))</f>
        <v>0</v>
      </c>
      <c r="T88" s="60">
        <f>IF(ISERROR((T60-T32)/T32),0,((T60-T32)/T32))</f>
        <v>0</v>
      </c>
      <c r="U88" s="7">
        <f>IF(ISERROR((U60-U32)/U32),0,((U60-U32)/U32))</f>
        <v>0</v>
      </c>
      <c r="V88" s="60">
        <f>IF(ISERROR((V60-V32)/V32),0,((V60-V32)/V32))</f>
        <v>0</v>
      </c>
      <c r="W88" s="7">
        <f>IF(ISERROR((W60-W32)/W32),0,((W60-W32)/W32))</f>
        <v>0</v>
      </c>
      <c r="X88" s="60">
        <f>IF(ISERROR((X60-X32)/X32),0,((X60-X32)/X32))</f>
        <v>0</v>
      </c>
      <c r="Y88" s="7">
        <f>IF(ISERROR((Y60-Y32)/Y32),0,((Y60-Y32)/Y32))</f>
        <v>0</v>
      </c>
      <c r="Z88" s="60">
        <f>IF(ISERROR((Z60-Z32)/Z32),0,((Z60-Z32)/Z32))</f>
        <v>0</v>
      </c>
      <c r="AA88" s="7">
        <f>IF(ISERROR((AA60-AA32)/AA32),0,((AA60-AA32)/AA32))</f>
        <v>0</v>
      </c>
      <c r="AB88" s="60">
        <f>IF(ISERROR((AB60-AB32)/AB32),0,((AB60-AB32)/AB32))</f>
        <v>0</v>
      </c>
      <c r="AC88" s="7">
        <f>IF(ISERROR((AC60-AC32)/AC32),0,((AC60-AC32)/AC32))</f>
        <v>0</v>
      </c>
      <c r="AD88" s="60">
        <f>IF(ISERROR((AD60-AD32)/AD32),0,((AD60-AD32)/AD32))</f>
        <v>0</v>
      </c>
      <c r="AE88" s="7">
        <f>IF(ISERROR((AE60-AE32)/AE32),0,((AE60-AE32)/AE32))</f>
        <v>0</v>
      </c>
      <c r="AF88" s="60">
        <f>IF(ISERROR((AF60-AF32)/AF32),0,((AF60-AF32)/AF32))</f>
        <v>0</v>
      </c>
      <c r="AG88" s="7">
        <f>IF(ISERROR((AG60-AG32)/AG32),0,((AG60-AG32)/AG32))</f>
        <v>0</v>
      </c>
      <c r="AH88" s="60">
        <f>IF(ISERROR((AH60-AH32)/AH32),0,((AH60-AH32)/AH32))</f>
        <v>0</v>
      </c>
      <c r="AI88" s="7">
        <f>IF(ISERROR((AI60-AI32)/AI32),0,((AI60-AI32)/AI32))</f>
        <v>0</v>
      </c>
      <c r="AJ88" s="60">
        <f>IF(ISERROR((AJ60-AJ32)/AJ32),0,((AJ60-AJ32)/AJ32))</f>
        <v>0</v>
      </c>
      <c r="AK88" s="7">
        <f>IF(ISERROR((AK60-AK32)/AK32),0,((AK60-AK32)/AK32))</f>
        <v>0</v>
      </c>
      <c r="AL88" s="60">
        <f>IF(ISERROR((AL60-AL32)/AL32),0,((AL60-AL32)/AL32))</f>
        <v>0</v>
      </c>
      <c r="AM88" s="7">
        <f>IF(ISERROR((AM60-AM32)/AM32),0,((AM60-AM32)/AM32))</f>
        <v>0</v>
      </c>
      <c r="AN88" s="60">
        <f>IF(ISERROR((AN60-AN32)/AN32),0,((AN60-AN32)/AN32))</f>
        <v>0</v>
      </c>
      <c r="AO88" s="7">
        <f>IF(ISERROR((AO60-AO32)/AO32),0,((AO60-AO32)/AO32))</f>
        <v>0</v>
      </c>
      <c r="AP88" s="60">
        <f>IF(ISERROR((AP60-AP32)/AP32),0,((AP60-AP32)/AP32))</f>
        <v>0</v>
      </c>
      <c r="AQ88" s="7">
        <f>IF(ISERROR((AQ60-AQ32)/AQ32),0,((AQ60-AQ32)/AQ32))</f>
        <v>0</v>
      </c>
      <c r="AR88" s="60">
        <f>IF(ISERROR((AR60-AR32)/AR32),0,((AR60-AR32)/AR32))</f>
        <v>0</v>
      </c>
      <c r="AS88" s="7">
        <f>IF(ISERROR((AS60-AS32)/AS32),0,((AS60-AS32)/AS32))</f>
        <v>0</v>
      </c>
      <c r="AT88" s="60">
        <f>IF(ISERROR((AT60-AT32)/AT32),0,((AT60-AT32)/AT32))</f>
        <v>0</v>
      </c>
      <c r="AU88" s="7">
        <f>IF(ISERROR((AU60-AU32)/AU32),0,((AU60-AU32)/AU32))</f>
        <v>0</v>
      </c>
      <c r="AV88" s="60">
        <f>IF(ISERROR((AV60-AV32)/AV32),0,((AV60-AV32)/AV32))</f>
        <v>0</v>
      </c>
      <c r="AW88" s="7">
        <f>IF(ISERROR((AW60-AW32)/AW32),0,((AW60-AW32)/AW32))</f>
        <v>0</v>
      </c>
      <c r="AX88" s="60">
        <f>IF(ISERROR((AX60-AX32)/AX32),0,((AX60-AX32)/AX32))</f>
        <v>0</v>
      </c>
      <c r="AY88" s="7">
        <f>IF(ISERROR((AY60-AY32)/AY32),0,((AY60-AY32)/AY32))</f>
        <v>0</v>
      </c>
      <c r="AZ88" s="60">
        <f>IF(ISERROR((AZ60-AZ32)/AZ32),0,((AZ60-AZ32)/AZ32))</f>
        <v>0</v>
      </c>
      <c r="BA88" s="7">
        <f>IF(ISERROR((BA60-BA32)/BA32),0,((BA60-BA32)/BA32))</f>
        <v>0</v>
      </c>
      <c r="BB88" s="60">
        <f>IF(ISERROR((BB60-BB32)/BB32),0,((BB60-BB32)/BB32))</f>
        <v>0</v>
      </c>
      <c r="BC88" s="7">
        <f>IF(ISERROR((BC60-BC32)/BC32),0,((BC60-BC32)/BC32))</f>
        <v>0</v>
      </c>
      <c r="BD88" s="60">
        <f>IF(ISERROR((BD60-BD32)/BD32),0,((BD60-BD32)/BD32))</f>
        <v>0</v>
      </c>
      <c r="BE88" s="7">
        <f>IF(ISERROR((BE60-BE32)/BE32),0,((BE60-BE32)/BE32))</f>
        <v>0</v>
      </c>
      <c r="BF88" s="60">
        <f>IF(ISERROR((BF60-BF32)/BF32),0,((BF60-BF32)/BF32))</f>
        <v>0</v>
      </c>
      <c r="BG88" s="7">
        <f>IF(ISERROR((BG60-BG32)/BG32),0,((BG60-BG32)/BG32))</f>
        <v>0</v>
      </c>
      <c r="BH88" s="60">
        <f>IF(ISERROR((BH60-BH32)/BH32),0,((BH60-BH32)/BH32))</f>
        <v>0</v>
      </c>
      <c r="BI88" s="7">
        <f>IF(ISERROR((BI60-BI32)/BI32),0,((BI60-BI32)/BI32))</f>
        <v>0</v>
      </c>
      <c r="BJ88" s="60">
        <f>IF(ISERROR((BJ60-BJ32)/BJ32),0,((BJ60-BJ32)/BJ32))</f>
        <v>0</v>
      </c>
      <c r="BK88" s="7">
        <f>IF(ISERROR((BK60-BK32)/BK32),0,((BK60-BK32)/BK32))</f>
        <v>0</v>
      </c>
      <c r="BL88" s="60">
        <f>IF(ISERROR((BL60-BL32)/BL32),0,((BL60-BL32)/BL32))</f>
        <v>0</v>
      </c>
      <c r="BM88" s="7">
        <f>IF(ISERROR((BM60-BM32)/BM32),0,((BM60-BM32)/BM32))</f>
        <v>0</v>
      </c>
      <c r="BN88" s="60">
        <f>IF(ISERROR((BN60-BN32)/BN32),0,((BN60-BN32)/BN32))</f>
        <v>0</v>
      </c>
      <c r="BO88" s="100">
        <f t="shared" si="17"/>
        <v>0</v>
      </c>
      <c r="BP88" s="100">
        <f t="shared" si="18"/>
        <v>0</v>
      </c>
      <c r="BQ88" s="100">
        <f t="shared" si="19"/>
        <v>0</v>
      </c>
    </row>
    <row r="89" spans="1:69">
      <c r="A89" s="47">
        <f>A33</f>
        <v>200</v>
      </c>
      <c r="B89" s="30">
        <f t="shared" si="20"/>
        <v>0.3</v>
      </c>
      <c r="C89" s="7">
        <f>IF(ISERROR((C61-C33)/C33),0,((C61-C33)/C33))</f>
        <v>0</v>
      </c>
      <c r="D89" s="60">
        <f>IF(ISERROR((D61-D33)/D33),0,((D61-D33)/D33))</f>
        <v>0</v>
      </c>
      <c r="E89" s="7">
        <f>IF(ISERROR((E61-E33)/E33),0,((E61-E33)/E33))</f>
        <v>0</v>
      </c>
      <c r="F89" s="60">
        <f>IF(ISERROR((F61-F33)/F33),0,((F61-F33)/F33))</f>
        <v>0</v>
      </c>
      <c r="G89" s="7">
        <f>IF(ISERROR((G61-G33)/G33),0,((G61-G33)/G33))</f>
        <v>0</v>
      </c>
      <c r="H89" s="60">
        <f>IF(ISERROR((H61-H33)/H33),0,((H61-H33)/H33))</f>
        <v>0</v>
      </c>
      <c r="I89" s="7">
        <f>IF(ISERROR((I61-I33)/I33),0,((I61-I33)/I33))</f>
        <v>0</v>
      </c>
      <c r="J89" s="60">
        <f>IF(ISERROR((J61-J33)/J33),0,((J61-J33)/J33))</f>
        <v>0</v>
      </c>
      <c r="K89" s="7">
        <f>IF(ISERROR((K61-K33)/K33),0,((K61-K33)/K33))</f>
        <v>0</v>
      </c>
      <c r="L89" s="60">
        <f>IF(ISERROR((L61-L33)/L33),0,((L61-L33)/L33))</f>
        <v>0</v>
      </c>
      <c r="M89" s="7">
        <f>IF(ISERROR((M61-M33)/M33),0,((M61-M33)/M33))</f>
        <v>0</v>
      </c>
      <c r="N89" s="60">
        <f>IF(ISERROR((N61-N33)/N33),0,((N61-N33)/N33))</f>
        <v>0</v>
      </c>
      <c r="O89" s="7">
        <f>IF(ISERROR((O61-O33)/O33),0,((O61-O33)/O33))</f>
        <v>0</v>
      </c>
      <c r="P89" s="60">
        <f>IF(ISERROR((P61-P33)/P33),0,((P61-P33)/P33))</f>
        <v>0</v>
      </c>
      <c r="Q89" s="7">
        <f>IF(ISERROR((Q61-Q33)/Q33),0,((Q61-Q33)/Q33))</f>
        <v>0</v>
      </c>
      <c r="R89" s="60">
        <f>IF(ISERROR((R61-R33)/R33),0,((R61-R33)/R33))</f>
        <v>0</v>
      </c>
      <c r="S89" s="7">
        <f>IF(ISERROR((S61-S33)/S33),0,((S61-S33)/S33))</f>
        <v>0</v>
      </c>
      <c r="T89" s="60">
        <f>IF(ISERROR((T61-T33)/T33),0,((T61-T33)/T33))</f>
        <v>0</v>
      </c>
      <c r="U89" s="7">
        <f>IF(ISERROR((U61-U33)/U33),0,((U61-U33)/U33))</f>
        <v>0</v>
      </c>
      <c r="V89" s="60">
        <f>IF(ISERROR((V61-V33)/V33),0,((V61-V33)/V33))</f>
        <v>0</v>
      </c>
      <c r="W89" s="7">
        <f>IF(ISERROR((W61-W33)/W33),0,((W61-W33)/W33))</f>
        <v>0</v>
      </c>
      <c r="X89" s="60">
        <f>IF(ISERROR((X61-X33)/X33),0,((X61-X33)/X33))</f>
        <v>0</v>
      </c>
      <c r="Y89" s="7">
        <f>IF(ISERROR((Y61-Y33)/Y33),0,((Y61-Y33)/Y33))</f>
        <v>0</v>
      </c>
      <c r="Z89" s="60">
        <f>IF(ISERROR((Z61-Z33)/Z33),0,((Z61-Z33)/Z33))</f>
        <v>0</v>
      </c>
      <c r="AA89" s="7">
        <f>IF(ISERROR((AA61-AA33)/AA33),0,((AA61-AA33)/AA33))</f>
        <v>0</v>
      </c>
      <c r="AB89" s="60">
        <f>IF(ISERROR((AB61-AB33)/AB33),0,((AB61-AB33)/AB33))</f>
        <v>0</v>
      </c>
      <c r="AC89" s="7">
        <f>IF(ISERROR((AC61-AC33)/AC33),0,((AC61-AC33)/AC33))</f>
        <v>0</v>
      </c>
      <c r="AD89" s="60">
        <f>IF(ISERROR((AD61-AD33)/AD33),0,((AD61-AD33)/AD33))</f>
        <v>0</v>
      </c>
      <c r="AE89" s="7">
        <f>IF(ISERROR((AE61-AE33)/AE33),0,((AE61-AE33)/AE33))</f>
        <v>0</v>
      </c>
      <c r="AF89" s="60">
        <f>IF(ISERROR((AF61-AF33)/AF33),0,((AF61-AF33)/AF33))</f>
        <v>0</v>
      </c>
      <c r="AG89" s="7">
        <f>IF(ISERROR((AG61-AG33)/AG33),0,((AG61-AG33)/AG33))</f>
        <v>0</v>
      </c>
      <c r="AH89" s="60">
        <f>IF(ISERROR((AH61-AH33)/AH33),0,((AH61-AH33)/AH33))</f>
        <v>0</v>
      </c>
      <c r="AI89" s="7">
        <f>IF(ISERROR((AI61-AI33)/AI33),0,((AI61-AI33)/AI33))</f>
        <v>0</v>
      </c>
      <c r="AJ89" s="60">
        <f>IF(ISERROR((AJ61-AJ33)/AJ33),0,((AJ61-AJ33)/AJ33))</f>
        <v>0</v>
      </c>
      <c r="AK89" s="7">
        <f>IF(ISERROR((AK61-AK33)/AK33),0,((AK61-AK33)/AK33))</f>
        <v>0</v>
      </c>
      <c r="AL89" s="60">
        <f>IF(ISERROR((AL61-AL33)/AL33),0,((AL61-AL33)/AL33))</f>
        <v>0</v>
      </c>
      <c r="AM89" s="7">
        <f>IF(ISERROR((AM61-AM33)/AM33),0,((AM61-AM33)/AM33))</f>
        <v>0</v>
      </c>
      <c r="AN89" s="60">
        <f>IF(ISERROR((AN61-AN33)/AN33),0,((AN61-AN33)/AN33))</f>
        <v>0</v>
      </c>
      <c r="AO89" s="7">
        <f>IF(ISERROR((AO61-AO33)/AO33),0,((AO61-AO33)/AO33))</f>
        <v>0</v>
      </c>
      <c r="AP89" s="60">
        <f>IF(ISERROR((AP61-AP33)/AP33),0,((AP61-AP33)/AP33))</f>
        <v>0</v>
      </c>
      <c r="AQ89" s="7">
        <f>IF(ISERROR((AQ61-AQ33)/AQ33),0,((AQ61-AQ33)/AQ33))</f>
        <v>0</v>
      </c>
      <c r="AR89" s="60">
        <f>IF(ISERROR((AR61-AR33)/AR33),0,((AR61-AR33)/AR33))</f>
        <v>0</v>
      </c>
      <c r="AS89" s="7">
        <f>IF(ISERROR((AS61-AS33)/AS33),0,((AS61-AS33)/AS33))</f>
        <v>0</v>
      </c>
      <c r="AT89" s="60">
        <f>IF(ISERROR((AT61-AT33)/AT33),0,((AT61-AT33)/AT33))</f>
        <v>0</v>
      </c>
      <c r="AU89" s="7">
        <f>IF(ISERROR((AU61-AU33)/AU33),0,((AU61-AU33)/AU33))</f>
        <v>0</v>
      </c>
      <c r="AV89" s="60">
        <f>IF(ISERROR((AV61-AV33)/AV33),0,((AV61-AV33)/AV33))</f>
        <v>0</v>
      </c>
      <c r="AW89" s="7">
        <f>IF(ISERROR((AW61-AW33)/AW33),0,((AW61-AW33)/AW33))</f>
        <v>0</v>
      </c>
      <c r="AX89" s="60">
        <f>IF(ISERROR((AX61-AX33)/AX33),0,((AX61-AX33)/AX33))</f>
        <v>0</v>
      </c>
      <c r="AY89" s="7">
        <f>IF(ISERROR((AY61-AY33)/AY33),0,((AY61-AY33)/AY33))</f>
        <v>0</v>
      </c>
      <c r="AZ89" s="60">
        <f>IF(ISERROR((AZ61-AZ33)/AZ33),0,((AZ61-AZ33)/AZ33))</f>
        <v>0</v>
      </c>
      <c r="BA89" s="7">
        <f>IF(ISERROR((BA61-BA33)/BA33),0,((BA61-BA33)/BA33))</f>
        <v>0</v>
      </c>
      <c r="BB89" s="60">
        <f>IF(ISERROR((BB61-BB33)/BB33),0,((BB61-BB33)/BB33))</f>
        <v>0</v>
      </c>
      <c r="BC89" s="7">
        <f>IF(ISERROR((BC61-BC33)/BC33),0,((BC61-BC33)/BC33))</f>
        <v>0</v>
      </c>
      <c r="BD89" s="60">
        <f>IF(ISERROR((BD61-BD33)/BD33),0,((BD61-BD33)/BD33))</f>
        <v>0</v>
      </c>
      <c r="BE89" s="7">
        <f>IF(ISERROR((BE61-BE33)/BE33),0,((BE61-BE33)/BE33))</f>
        <v>0</v>
      </c>
      <c r="BF89" s="60">
        <f>IF(ISERROR((BF61-BF33)/BF33),0,((BF61-BF33)/BF33))</f>
        <v>0</v>
      </c>
      <c r="BG89" s="7">
        <f>IF(ISERROR((BG61-BG33)/BG33),0,((BG61-BG33)/BG33))</f>
        <v>0</v>
      </c>
      <c r="BH89" s="60">
        <f>IF(ISERROR((BH61-BH33)/BH33),0,((BH61-BH33)/BH33))</f>
        <v>0</v>
      </c>
      <c r="BI89" s="7">
        <f>IF(ISERROR((BI61-BI33)/BI33),0,((BI61-BI33)/BI33))</f>
        <v>0</v>
      </c>
      <c r="BJ89" s="60">
        <f>IF(ISERROR((BJ61-BJ33)/BJ33),0,((BJ61-BJ33)/BJ33))</f>
        <v>0</v>
      </c>
      <c r="BK89" s="7">
        <f>IF(ISERROR((BK61-BK33)/BK33),0,((BK61-BK33)/BK33))</f>
        <v>0</v>
      </c>
      <c r="BL89" s="60">
        <f>IF(ISERROR((BL61-BL33)/BL33),0,((BL61-BL33)/BL33))</f>
        <v>0</v>
      </c>
      <c r="BM89" s="7">
        <f>IF(ISERROR((BM61-BM33)/BM33),0,((BM61-BM33)/BM33))</f>
        <v>0</v>
      </c>
      <c r="BN89" s="60">
        <f>IF(ISERROR((BN61-BN33)/BN33),0,((BN61-BN33)/BN33))</f>
        <v>0</v>
      </c>
      <c r="BO89" s="100">
        <f t="shared" si="17"/>
        <v>0</v>
      </c>
      <c r="BP89" s="100">
        <f t="shared" si="18"/>
        <v>0</v>
      </c>
      <c r="BQ89" s="100">
        <f t="shared" si="19"/>
        <v>0</v>
      </c>
    </row>
    <row r="90" spans="1:69">
      <c r="A90" s="47">
        <f>A34</f>
        <v>200</v>
      </c>
      <c r="B90" s="30">
        <f t="shared" si="20"/>
        <v>0.5</v>
      </c>
      <c r="C90" s="7">
        <f>IF(ISERROR((C62-C34)/C34),0,((C62-C34)/C34))</f>
        <v>0</v>
      </c>
      <c r="D90" s="60">
        <f>IF(ISERROR((D62-D34)/D34),0,((D62-D34)/D34))</f>
        <v>0</v>
      </c>
      <c r="E90" s="7">
        <f>IF(ISERROR((E62-E34)/E34),0,((E62-E34)/E34))</f>
        <v>0</v>
      </c>
      <c r="F90" s="60">
        <f>IF(ISERROR((F62-F34)/F34),0,((F62-F34)/F34))</f>
        <v>0</v>
      </c>
      <c r="G90" s="7">
        <f>IF(ISERROR((G62-G34)/G34),0,((G62-G34)/G34))</f>
        <v>0</v>
      </c>
      <c r="H90" s="60">
        <f>IF(ISERROR((H62-H34)/H34),0,((H62-H34)/H34))</f>
        <v>0</v>
      </c>
      <c r="I90" s="7">
        <f>IF(ISERROR((I62-I34)/I34),0,((I62-I34)/I34))</f>
        <v>0</v>
      </c>
      <c r="J90" s="60">
        <f>IF(ISERROR((J62-J34)/J34),0,((J62-J34)/J34))</f>
        <v>0</v>
      </c>
      <c r="K90" s="7">
        <f>IF(ISERROR((K62-K34)/K34),0,((K62-K34)/K34))</f>
        <v>0</v>
      </c>
      <c r="L90" s="60">
        <f>IF(ISERROR((L62-L34)/L34),0,((L62-L34)/L34))</f>
        <v>0</v>
      </c>
      <c r="M90" s="7">
        <f>IF(ISERROR((M62-M34)/M34),0,((M62-M34)/M34))</f>
        <v>0</v>
      </c>
      <c r="N90" s="60">
        <f>IF(ISERROR((N62-N34)/N34),0,((N62-N34)/N34))</f>
        <v>0</v>
      </c>
      <c r="O90" s="7">
        <f>IF(ISERROR((O62-O34)/O34),0,((O62-O34)/O34))</f>
        <v>0</v>
      </c>
      <c r="P90" s="60">
        <f>IF(ISERROR((P62-P34)/P34),0,((P62-P34)/P34))</f>
        <v>0</v>
      </c>
      <c r="Q90" s="7">
        <f>IF(ISERROR((Q62-Q34)/Q34),0,((Q62-Q34)/Q34))</f>
        <v>0</v>
      </c>
      <c r="R90" s="60">
        <f>IF(ISERROR((R62-R34)/R34),0,((R62-R34)/R34))</f>
        <v>0</v>
      </c>
      <c r="S90" s="7">
        <f>IF(ISERROR((S62-S34)/S34),0,((S62-S34)/S34))</f>
        <v>0</v>
      </c>
      <c r="T90" s="60">
        <f>IF(ISERROR((T62-T34)/T34),0,((T62-T34)/T34))</f>
        <v>0</v>
      </c>
      <c r="U90" s="7">
        <f>IF(ISERROR((U62-U34)/U34),0,((U62-U34)/U34))</f>
        <v>0</v>
      </c>
      <c r="V90" s="60">
        <f>IF(ISERROR((V62-V34)/V34),0,((V62-V34)/V34))</f>
        <v>0</v>
      </c>
      <c r="W90" s="7">
        <f>IF(ISERROR((W62-W34)/W34),0,((W62-W34)/W34))</f>
        <v>0</v>
      </c>
      <c r="X90" s="60">
        <f>IF(ISERROR((X62-X34)/X34),0,((X62-X34)/X34))</f>
        <v>0</v>
      </c>
      <c r="Y90" s="7">
        <f>IF(ISERROR((Y62-Y34)/Y34),0,((Y62-Y34)/Y34))</f>
        <v>0</v>
      </c>
      <c r="Z90" s="60">
        <f>IF(ISERROR((Z62-Z34)/Z34),0,((Z62-Z34)/Z34))</f>
        <v>0</v>
      </c>
      <c r="AA90" s="7">
        <f>IF(ISERROR((AA62-AA34)/AA34),0,((AA62-AA34)/AA34))</f>
        <v>0</v>
      </c>
      <c r="AB90" s="60">
        <f>IF(ISERROR((AB62-AB34)/AB34),0,((AB62-AB34)/AB34))</f>
        <v>0</v>
      </c>
      <c r="AC90" s="7">
        <f>IF(ISERROR((AC62-AC34)/AC34),0,((AC62-AC34)/AC34))</f>
        <v>0</v>
      </c>
      <c r="AD90" s="60">
        <f>IF(ISERROR((AD62-AD34)/AD34),0,((AD62-AD34)/AD34))</f>
        <v>0</v>
      </c>
      <c r="AE90" s="7">
        <f>IF(ISERROR((AE62-AE34)/AE34),0,((AE62-AE34)/AE34))</f>
        <v>0</v>
      </c>
      <c r="AF90" s="60">
        <f>IF(ISERROR((AF62-AF34)/AF34),0,((AF62-AF34)/AF34))</f>
        <v>0</v>
      </c>
      <c r="AG90" s="7">
        <f>IF(ISERROR((AG62-AG34)/AG34),0,((AG62-AG34)/AG34))</f>
        <v>0</v>
      </c>
      <c r="AH90" s="60">
        <f>IF(ISERROR((AH62-AH34)/AH34),0,((AH62-AH34)/AH34))</f>
        <v>0</v>
      </c>
      <c r="AI90" s="7">
        <f>IF(ISERROR((AI62-AI34)/AI34),0,((AI62-AI34)/AI34))</f>
        <v>0</v>
      </c>
      <c r="AJ90" s="60">
        <f>IF(ISERROR((AJ62-AJ34)/AJ34),0,((AJ62-AJ34)/AJ34))</f>
        <v>0</v>
      </c>
      <c r="AK90" s="7">
        <f>IF(ISERROR((AK62-AK34)/AK34),0,((AK62-AK34)/AK34))</f>
        <v>0</v>
      </c>
      <c r="AL90" s="60">
        <f>IF(ISERROR((AL62-AL34)/AL34),0,((AL62-AL34)/AL34))</f>
        <v>0</v>
      </c>
      <c r="AM90" s="7">
        <f>IF(ISERROR((AM62-AM34)/AM34),0,((AM62-AM34)/AM34))</f>
        <v>0</v>
      </c>
      <c r="AN90" s="60">
        <f>IF(ISERROR((AN62-AN34)/AN34),0,((AN62-AN34)/AN34))</f>
        <v>0</v>
      </c>
      <c r="AO90" s="7">
        <f>IF(ISERROR((AO62-AO34)/AO34),0,((AO62-AO34)/AO34))</f>
        <v>0</v>
      </c>
      <c r="AP90" s="60">
        <f>IF(ISERROR((AP62-AP34)/AP34),0,((AP62-AP34)/AP34))</f>
        <v>0</v>
      </c>
      <c r="AQ90" s="7">
        <f>IF(ISERROR((AQ62-AQ34)/AQ34),0,((AQ62-AQ34)/AQ34))</f>
        <v>0</v>
      </c>
      <c r="AR90" s="60">
        <f>IF(ISERROR((AR62-AR34)/AR34),0,((AR62-AR34)/AR34))</f>
        <v>0</v>
      </c>
      <c r="AS90" s="7">
        <f>IF(ISERROR((AS62-AS34)/AS34),0,((AS62-AS34)/AS34))</f>
        <v>0</v>
      </c>
      <c r="AT90" s="60">
        <f>IF(ISERROR((AT62-AT34)/AT34),0,((AT62-AT34)/AT34))</f>
        <v>0</v>
      </c>
      <c r="AU90" s="7">
        <f>IF(ISERROR((AU62-AU34)/AU34),0,((AU62-AU34)/AU34))</f>
        <v>0</v>
      </c>
      <c r="AV90" s="60">
        <f>IF(ISERROR((AV62-AV34)/AV34),0,((AV62-AV34)/AV34))</f>
        <v>0</v>
      </c>
      <c r="AW90" s="7">
        <f>IF(ISERROR((AW62-AW34)/AW34),0,((AW62-AW34)/AW34))</f>
        <v>0</v>
      </c>
      <c r="AX90" s="60">
        <f>IF(ISERROR((AX62-AX34)/AX34),0,((AX62-AX34)/AX34))</f>
        <v>0</v>
      </c>
      <c r="AY90" s="7">
        <f>IF(ISERROR((AY62-AY34)/AY34),0,((AY62-AY34)/AY34))</f>
        <v>0</v>
      </c>
      <c r="AZ90" s="60">
        <f>IF(ISERROR((AZ62-AZ34)/AZ34),0,((AZ62-AZ34)/AZ34))</f>
        <v>0</v>
      </c>
      <c r="BA90" s="7">
        <f>IF(ISERROR((BA62-BA34)/BA34),0,((BA62-BA34)/BA34))</f>
        <v>0</v>
      </c>
      <c r="BB90" s="60">
        <f>IF(ISERROR((BB62-BB34)/BB34),0,((BB62-BB34)/BB34))</f>
        <v>0</v>
      </c>
      <c r="BC90" s="7">
        <f>IF(ISERROR((BC62-BC34)/BC34),0,((BC62-BC34)/BC34))</f>
        <v>0</v>
      </c>
      <c r="BD90" s="60">
        <f>IF(ISERROR((BD62-BD34)/BD34),0,((BD62-BD34)/BD34))</f>
        <v>0</v>
      </c>
      <c r="BE90" s="7">
        <f>IF(ISERROR((BE62-BE34)/BE34),0,((BE62-BE34)/BE34))</f>
        <v>0</v>
      </c>
      <c r="BF90" s="60">
        <f>IF(ISERROR((BF62-BF34)/BF34),0,((BF62-BF34)/BF34))</f>
        <v>0</v>
      </c>
      <c r="BG90" s="7">
        <f>IF(ISERROR((BG62-BG34)/BG34),0,((BG62-BG34)/BG34))</f>
        <v>0</v>
      </c>
      <c r="BH90" s="60">
        <f>IF(ISERROR((BH62-BH34)/BH34),0,((BH62-BH34)/BH34))</f>
        <v>0</v>
      </c>
      <c r="BI90" s="7">
        <f>IF(ISERROR((BI62-BI34)/BI34),0,((BI62-BI34)/BI34))</f>
        <v>0</v>
      </c>
      <c r="BJ90" s="60">
        <f>IF(ISERROR((BJ62-BJ34)/BJ34),0,((BJ62-BJ34)/BJ34))</f>
        <v>0</v>
      </c>
      <c r="BK90" s="7">
        <f>IF(ISERROR((BK62-BK34)/BK34),0,((BK62-BK34)/BK34))</f>
        <v>0</v>
      </c>
      <c r="BL90" s="60">
        <f>IF(ISERROR((BL62-BL34)/BL34),0,((BL62-BL34)/BL34))</f>
        <v>0</v>
      </c>
      <c r="BM90" s="7">
        <f>IF(ISERROR((BM62-BM34)/BM34),0,((BM62-BM34)/BM34))</f>
        <v>0</v>
      </c>
      <c r="BN90" s="60">
        <f>IF(ISERROR((BN62-BN34)/BN34),0,((BN62-BN34)/BN34))</f>
        <v>0</v>
      </c>
      <c r="BO90" s="100">
        <f t="shared" si="17"/>
        <v>0</v>
      </c>
      <c r="BP90" s="100">
        <f t="shared" si="18"/>
        <v>0</v>
      </c>
      <c r="BQ90" s="100">
        <f t="shared" si="19"/>
        <v>0</v>
      </c>
    </row>
    <row r="91" spans="1:69">
      <c r="A91" s="47">
        <f>A35</f>
        <v>200</v>
      </c>
      <c r="B91" s="30">
        <f t="shared" si="20"/>
        <v>0.70000000000000007</v>
      </c>
      <c r="C91" s="7">
        <f>IF(ISERROR((C63-C35)/C35),0,((C63-C35)/C35))</f>
        <v>0</v>
      </c>
      <c r="D91" s="60">
        <f>IF(ISERROR((D63-D35)/D35),0,((D63-D35)/D35))</f>
        <v>0</v>
      </c>
      <c r="E91" s="7">
        <f>IF(ISERROR((E63-E35)/E35),0,((E63-E35)/E35))</f>
        <v>0</v>
      </c>
      <c r="F91" s="60">
        <f>IF(ISERROR((F63-F35)/F35),0,((F63-F35)/F35))</f>
        <v>0</v>
      </c>
      <c r="G91" s="7">
        <f>IF(ISERROR((G63-G35)/G35),0,((G63-G35)/G35))</f>
        <v>0</v>
      </c>
      <c r="H91" s="60">
        <f>IF(ISERROR((H63-H35)/H35),0,((H63-H35)/H35))</f>
        <v>0</v>
      </c>
      <c r="I91" s="7">
        <f>IF(ISERROR((I63-I35)/I35),0,((I63-I35)/I35))</f>
        <v>0</v>
      </c>
      <c r="J91" s="60">
        <f>IF(ISERROR((J63-J35)/J35),0,((J63-J35)/J35))</f>
        <v>0</v>
      </c>
      <c r="K91" s="7">
        <f>IF(ISERROR((K63-K35)/K35),0,((K63-K35)/K35))</f>
        <v>0</v>
      </c>
      <c r="L91" s="60">
        <f>IF(ISERROR((L63-L35)/L35),0,((L63-L35)/L35))</f>
        <v>0</v>
      </c>
      <c r="M91" s="7">
        <f>IF(ISERROR((M63-M35)/M35),0,((M63-M35)/M35))</f>
        <v>0</v>
      </c>
      <c r="N91" s="60">
        <f>IF(ISERROR((N63-N35)/N35),0,((N63-N35)/N35))</f>
        <v>0</v>
      </c>
      <c r="O91" s="7">
        <f>IF(ISERROR((O63-O35)/O35),0,((O63-O35)/O35))</f>
        <v>0</v>
      </c>
      <c r="P91" s="60">
        <f>IF(ISERROR((P63-P35)/P35),0,((P63-P35)/P35))</f>
        <v>0</v>
      </c>
      <c r="Q91" s="7">
        <f>IF(ISERROR((Q63-Q35)/Q35),0,((Q63-Q35)/Q35))</f>
        <v>0</v>
      </c>
      <c r="R91" s="60">
        <f>IF(ISERROR((R63-R35)/R35),0,((R63-R35)/R35))</f>
        <v>0</v>
      </c>
      <c r="S91" s="7">
        <f>IF(ISERROR((S63-S35)/S35),0,((S63-S35)/S35))</f>
        <v>0</v>
      </c>
      <c r="T91" s="60">
        <f>IF(ISERROR((T63-T35)/T35),0,((T63-T35)/T35))</f>
        <v>0</v>
      </c>
      <c r="U91" s="7">
        <f>IF(ISERROR((U63-U35)/U35),0,((U63-U35)/U35))</f>
        <v>0</v>
      </c>
      <c r="V91" s="60">
        <f>IF(ISERROR((V63-V35)/V35),0,((V63-V35)/V35))</f>
        <v>0</v>
      </c>
      <c r="W91" s="7">
        <f>IF(ISERROR((W63-W35)/W35),0,((W63-W35)/W35))</f>
        <v>0</v>
      </c>
      <c r="X91" s="60">
        <f>IF(ISERROR((X63-X35)/X35),0,((X63-X35)/X35))</f>
        <v>0</v>
      </c>
      <c r="Y91" s="7">
        <f>IF(ISERROR((Y63-Y35)/Y35),0,((Y63-Y35)/Y35))</f>
        <v>0</v>
      </c>
      <c r="Z91" s="60">
        <f>IF(ISERROR((Z63-Z35)/Z35),0,((Z63-Z35)/Z35))</f>
        <v>0</v>
      </c>
      <c r="AA91" s="7">
        <f>IF(ISERROR((AA63-AA35)/AA35),0,((AA63-AA35)/AA35))</f>
        <v>0</v>
      </c>
      <c r="AB91" s="60">
        <f>IF(ISERROR((AB63-AB35)/AB35),0,((AB63-AB35)/AB35))</f>
        <v>0</v>
      </c>
      <c r="AC91" s="7">
        <f>IF(ISERROR((AC63-AC35)/AC35),0,((AC63-AC35)/AC35))</f>
        <v>0</v>
      </c>
      <c r="AD91" s="60">
        <f>IF(ISERROR((AD63-AD35)/AD35),0,((AD63-AD35)/AD35))</f>
        <v>0</v>
      </c>
      <c r="AE91" s="7">
        <f>IF(ISERROR((AE63-AE35)/AE35),0,((AE63-AE35)/AE35))</f>
        <v>0</v>
      </c>
      <c r="AF91" s="60">
        <f>IF(ISERROR((AF63-AF35)/AF35),0,((AF63-AF35)/AF35))</f>
        <v>0</v>
      </c>
      <c r="AG91" s="7">
        <f>IF(ISERROR((AG63-AG35)/AG35),0,((AG63-AG35)/AG35))</f>
        <v>0</v>
      </c>
      <c r="AH91" s="60">
        <f>IF(ISERROR((AH63-AH35)/AH35),0,((AH63-AH35)/AH35))</f>
        <v>0</v>
      </c>
      <c r="AI91" s="7">
        <f>IF(ISERROR((AI63-AI35)/AI35),0,((AI63-AI35)/AI35))</f>
        <v>0</v>
      </c>
      <c r="AJ91" s="60">
        <f>IF(ISERROR((AJ63-AJ35)/AJ35),0,((AJ63-AJ35)/AJ35))</f>
        <v>0</v>
      </c>
      <c r="AK91" s="7">
        <f>IF(ISERROR((AK63-AK35)/AK35),0,((AK63-AK35)/AK35))</f>
        <v>0</v>
      </c>
      <c r="AL91" s="60">
        <f>IF(ISERROR((AL63-AL35)/AL35),0,((AL63-AL35)/AL35))</f>
        <v>0</v>
      </c>
      <c r="AM91" s="7">
        <f>IF(ISERROR((AM63-AM35)/AM35),0,((AM63-AM35)/AM35))</f>
        <v>0</v>
      </c>
      <c r="AN91" s="60">
        <f>IF(ISERROR((AN63-AN35)/AN35),0,((AN63-AN35)/AN35))</f>
        <v>0</v>
      </c>
      <c r="AO91" s="7">
        <f>IF(ISERROR((AO63-AO35)/AO35),0,((AO63-AO35)/AO35))</f>
        <v>0</v>
      </c>
      <c r="AP91" s="60">
        <f>IF(ISERROR((AP63-AP35)/AP35),0,((AP63-AP35)/AP35))</f>
        <v>0</v>
      </c>
      <c r="AQ91" s="7">
        <f>IF(ISERROR((AQ63-AQ35)/AQ35),0,((AQ63-AQ35)/AQ35))</f>
        <v>0</v>
      </c>
      <c r="AR91" s="60">
        <f>IF(ISERROR((AR63-AR35)/AR35),0,((AR63-AR35)/AR35))</f>
        <v>0</v>
      </c>
      <c r="AS91" s="7">
        <f>IF(ISERROR((AS63-AS35)/AS35),0,((AS63-AS35)/AS35))</f>
        <v>0</v>
      </c>
      <c r="AT91" s="60">
        <f>IF(ISERROR((AT63-AT35)/AT35),0,((AT63-AT35)/AT35))</f>
        <v>0</v>
      </c>
      <c r="AU91" s="7">
        <f>IF(ISERROR((AU63-AU35)/AU35),0,((AU63-AU35)/AU35))</f>
        <v>0</v>
      </c>
      <c r="AV91" s="60">
        <f>IF(ISERROR((AV63-AV35)/AV35),0,((AV63-AV35)/AV35))</f>
        <v>0</v>
      </c>
      <c r="AW91" s="7">
        <f>IF(ISERROR((AW63-AW35)/AW35),0,((AW63-AW35)/AW35))</f>
        <v>0</v>
      </c>
      <c r="AX91" s="60">
        <f>IF(ISERROR((AX63-AX35)/AX35),0,((AX63-AX35)/AX35))</f>
        <v>0</v>
      </c>
      <c r="AY91" s="7">
        <f>IF(ISERROR((AY63-AY35)/AY35),0,((AY63-AY35)/AY35))</f>
        <v>0</v>
      </c>
      <c r="AZ91" s="60">
        <f>IF(ISERROR((AZ63-AZ35)/AZ35),0,((AZ63-AZ35)/AZ35))</f>
        <v>0</v>
      </c>
      <c r="BA91" s="7">
        <f>IF(ISERROR((BA63-BA35)/BA35),0,((BA63-BA35)/BA35))</f>
        <v>0</v>
      </c>
      <c r="BB91" s="60">
        <f>IF(ISERROR((BB63-BB35)/BB35),0,((BB63-BB35)/BB35))</f>
        <v>0</v>
      </c>
      <c r="BC91" s="7">
        <f>IF(ISERROR((BC63-BC35)/BC35),0,((BC63-BC35)/BC35))</f>
        <v>0</v>
      </c>
      <c r="BD91" s="60">
        <f>IF(ISERROR((BD63-BD35)/BD35),0,((BD63-BD35)/BD35))</f>
        <v>0</v>
      </c>
      <c r="BE91" s="7">
        <f>IF(ISERROR((BE63-BE35)/BE35),0,((BE63-BE35)/BE35))</f>
        <v>0</v>
      </c>
      <c r="BF91" s="60">
        <f>IF(ISERROR((BF63-BF35)/BF35),0,((BF63-BF35)/BF35))</f>
        <v>0</v>
      </c>
      <c r="BG91" s="7">
        <f>IF(ISERROR((BG63-BG35)/BG35),0,((BG63-BG35)/BG35))</f>
        <v>0</v>
      </c>
      <c r="BH91" s="60">
        <f>IF(ISERROR((BH63-BH35)/BH35),0,((BH63-BH35)/BH35))</f>
        <v>0</v>
      </c>
      <c r="BI91" s="7">
        <f>IF(ISERROR((BI63-BI35)/BI35),0,((BI63-BI35)/BI35))</f>
        <v>0</v>
      </c>
      <c r="BJ91" s="60">
        <f>IF(ISERROR((BJ63-BJ35)/BJ35),0,((BJ63-BJ35)/BJ35))</f>
        <v>0</v>
      </c>
      <c r="BK91" s="7">
        <f>IF(ISERROR((BK63-BK35)/BK35),0,((BK63-BK35)/BK35))</f>
        <v>0</v>
      </c>
      <c r="BL91" s="60">
        <f>IF(ISERROR((BL63-BL35)/BL35),0,((BL63-BL35)/BL35))</f>
        <v>0</v>
      </c>
      <c r="BM91" s="7">
        <f>IF(ISERROR((BM63-BM35)/BM35),0,((BM63-BM35)/BM35))</f>
        <v>0</v>
      </c>
      <c r="BN91" s="60">
        <f>IF(ISERROR((BN63-BN35)/BN35),0,((BN63-BN35)/BN35))</f>
        <v>0</v>
      </c>
      <c r="BO91" s="100">
        <f t="shared" si="17"/>
        <v>0</v>
      </c>
      <c r="BP91" s="100">
        <f t="shared" si="18"/>
        <v>0</v>
      </c>
      <c r="BQ91" s="100">
        <f t="shared" si="19"/>
        <v>0</v>
      </c>
    </row>
    <row r="92" spans="1:69" s="43" customFormat="1">
      <c r="A92" s="47">
        <f>A36</f>
        <v>100</v>
      </c>
      <c r="B92" s="41">
        <f t="shared" si="20"/>
        <v>1</v>
      </c>
      <c r="C92" s="44">
        <f>IF(ISERROR((C64-C36)/C36),0,((C64-C36)/C36))</f>
        <v>0</v>
      </c>
      <c r="D92" s="61">
        <f>IF(ISERROR((D64-D36)/D36),0,((D64-D36)/D36))</f>
        <v>0</v>
      </c>
      <c r="E92" s="44">
        <f>IF(ISERROR((E64-E36)/E36),0,((E64-E36)/E36))</f>
        <v>0</v>
      </c>
      <c r="F92" s="61">
        <f>IF(ISERROR((F64-F36)/F36),0,((F64-F36)/F36))</f>
        <v>0</v>
      </c>
      <c r="G92" s="44">
        <f>IF(ISERROR((G64-G36)/G36),0,((G64-G36)/G36))</f>
        <v>0</v>
      </c>
      <c r="H92" s="61">
        <f>IF(ISERROR((H64-H36)/H36),0,((H64-H36)/H36))</f>
        <v>0</v>
      </c>
      <c r="I92" s="44">
        <f>IF(ISERROR((I64-I36)/I36),0,((I64-I36)/I36))</f>
        <v>0</v>
      </c>
      <c r="J92" s="61">
        <f>IF(ISERROR((J64-J36)/J36),0,((J64-J36)/J36))</f>
        <v>0</v>
      </c>
      <c r="K92" s="44">
        <f>IF(ISERROR((K64-K36)/K36),0,((K64-K36)/K36))</f>
        <v>0</v>
      </c>
      <c r="L92" s="61">
        <f>IF(ISERROR((L64-L36)/L36),0,((L64-L36)/L36))</f>
        <v>0</v>
      </c>
      <c r="M92" s="44">
        <f>IF(ISERROR((M64-M36)/M36),0,((M64-M36)/M36))</f>
        <v>0</v>
      </c>
      <c r="N92" s="61">
        <f>IF(ISERROR((N64-N36)/N36),0,((N64-N36)/N36))</f>
        <v>0</v>
      </c>
      <c r="O92" s="44">
        <f>IF(ISERROR((O64-O36)/O36),0,((O64-O36)/O36))</f>
        <v>0</v>
      </c>
      <c r="P92" s="61">
        <f>IF(ISERROR((P64-P36)/P36),0,((P64-P36)/P36))</f>
        <v>0</v>
      </c>
      <c r="Q92" s="44">
        <f>IF(ISERROR((Q64-Q36)/Q36),0,((Q64-Q36)/Q36))</f>
        <v>0</v>
      </c>
      <c r="R92" s="61">
        <f>IF(ISERROR((R64-R36)/R36),0,((R64-R36)/R36))</f>
        <v>0</v>
      </c>
      <c r="S92" s="44">
        <f>IF(ISERROR((S64-S36)/S36),0,((S64-S36)/S36))</f>
        <v>0</v>
      </c>
      <c r="T92" s="61">
        <f>IF(ISERROR((T64-T36)/T36),0,((T64-T36)/T36))</f>
        <v>0</v>
      </c>
      <c r="U92" s="44">
        <f>IF(ISERROR((U64-U36)/U36),0,((U64-U36)/U36))</f>
        <v>0</v>
      </c>
      <c r="V92" s="61">
        <f>IF(ISERROR((V64-V36)/V36),0,((V64-V36)/V36))</f>
        <v>0</v>
      </c>
      <c r="W92" s="44">
        <f>IF(ISERROR((W64-W36)/W36),0,((W64-W36)/W36))</f>
        <v>0</v>
      </c>
      <c r="X92" s="61">
        <f>IF(ISERROR((X64-X36)/X36),0,((X64-X36)/X36))</f>
        <v>0</v>
      </c>
      <c r="Y92" s="44">
        <f>IF(ISERROR((Y64-Y36)/Y36),0,((Y64-Y36)/Y36))</f>
        <v>0</v>
      </c>
      <c r="Z92" s="61">
        <f>IF(ISERROR((Z64-Z36)/Z36),0,((Z64-Z36)/Z36))</f>
        <v>0</v>
      </c>
      <c r="AA92" s="44">
        <f>IF(ISERROR((AA64-AA36)/AA36),0,((AA64-AA36)/AA36))</f>
        <v>0</v>
      </c>
      <c r="AB92" s="61">
        <f>IF(ISERROR((AB64-AB36)/AB36),0,((AB64-AB36)/AB36))</f>
        <v>0</v>
      </c>
      <c r="AC92" s="44">
        <f>IF(ISERROR((AC64-AC36)/AC36),0,((AC64-AC36)/AC36))</f>
        <v>0</v>
      </c>
      <c r="AD92" s="61">
        <f>IF(ISERROR((AD64-AD36)/AD36),0,((AD64-AD36)/AD36))</f>
        <v>0</v>
      </c>
      <c r="AE92" s="44">
        <f>IF(ISERROR((AE64-AE36)/AE36),0,((AE64-AE36)/AE36))</f>
        <v>0</v>
      </c>
      <c r="AF92" s="61">
        <f>IF(ISERROR((AF64-AF36)/AF36),0,((AF64-AF36)/AF36))</f>
        <v>0</v>
      </c>
      <c r="AG92" s="44">
        <f>IF(ISERROR((AG64-AG36)/AG36),0,((AG64-AG36)/AG36))</f>
        <v>0</v>
      </c>
      <c r="AH92" s="61">
        <f>IF(ISERROR((AH64-AH36)/AH36),0,((AH64-AH36)/AH36))</f>
        <v>0</v>
      </c>
      <c r="AI92" s="44">
        <f>IF(ISERROR((AI64-AI36)/AI36),0,((AI64-AI36)/AI36))</f>
        <v>0</v>
      </c>
      <c r="AJ92" s="61">
        <f>IF(ISERROR((AJ64-AJ36)/AJ36),0,((AJ64-AJ36)/AJ36))</f>
        <v>0</v>
      </c>
      <c r="AK92" s="44">
        <f>IF(ISERROR((AK64-AK36)/AK36),0,((AK64-AK36)/AK36))</f>
        <v>0</v>
      </c>
      <c r="AL92" s="61">
        <f>IF(ISERROR((AL64-AL36)/AL36),0,((AL64-AL36)/AL36))</f>
        <v>0</v>
      </c>
      <c r="AM92" s="44">
        <f>IF(ISERROR((AM64-AM36)/AM36),0,((AM64-AM36)/AM36))</f>
        <v>0</v>
      </c>
      <c r="AN92" s="61">
        <f>IF(ISERROR((AN64-AN36)/AN36),0,((AN64-AN36)/AN36))</f>
        <v>0</v>
      </c>
      <c r="AO92" s="44">
        <f>IF(ISERROR((AO64-AO36)/AO36),0,((AO64-AO36)/AO36))</f>
        <v>0</v>
      </c>
      <c r="AP92" s="61">
        <f>IF(ISERROR((AP64-AP36)/AP36),0,((AP64-AP36)/AP36))</f>
        <v>0</v>
      </c>
      <c r="AQ92" s="44">
        <f>IF(ISERROR((AQ64-AQ36)/AQ36),0,((AQ64-AQ36)/AQ36))</f>
        <v>0</v>
      </c>
      <c r="AR92" s="61">
        <f>IF(ISERROR((AR64-AR36)/AR36),0,((AR64-AR36)/AR36))</f>
        <v>0</v>
      </c>
      <c r="AS92" s="44">
        <f>IF(ISERROR((AS64-AS36)/AS36),0,((AS64-AS36)/AS36))</f>
        <v>0</v>
      </c>
      <c r="AT92" s="61">
        <f>IF(ISERROR((AT64-AT36)/AT36),0,((AT64-AT36)/AT36))</f>
        <v>0</v>
      </c>
      <c r="AU92" s="44">
        <f>IF(ISERROR((AU64-AU36)/AU36),0,((AU64-AU36)/AU36))</f>
        <v>0</v>
      </c>
      <c r="AV92" s="61">
        <f>IF(ISERROR((AV64-AV36)/AV36),0,((AV64-AV36)/AV36))</f>
        <v>0</v>
      </c>
      <c r="AW92" s="44">
        <f>IF(ISERROR((AW64-AW36)/AW36),0,((AW64-AW36)/AW36))</f>
        <v>0</v>
      </c>
      <c r="AX92" s="61">
        <f>IF(ISERROR((AX64-AX36)/AX36),0,((AX64-AX36)/AX36))</f>
        <v>0</v>
      </c>
      <c r="AY92" s="44">
        <f>IF(ISERROR((AY64-AY36)/AY36),0,((AY64-AY36)/AY36))</f>
        <v>0</v>
      </c>
      <c r="AZ92" s="61">
        <f>IF(ISERROR((AZ64-AZ36)/AZ36),0,((AZ64-AZ36)/AZ36))</f>
        <v>0</v>
      </c>
      <c r="BA92" s="44">
        <f>IF(ISERROR((BA64-BA36)/BA36),0,((BA64-BA36)/BA36))</f>
        <v>0</v>
      </c>
      <c r="BB92" s="61">
        <f>IF(ISERROR((BB64-BB36)/BB36),0,((BB64-BB36)/BB36))</f>
        <v>0</v>
      </c>
      <c r="BC92" s="44">
        <f>IF(ISERROR((BC64-BC36)/BC36),0,((BC64-BC36)/BC36))</f>
        <v>0</v>
      </c>
      <c r="BD92" s="61">
        <f>IF(ISERROR((BD64-BD36)/BD36),0,((BD64-BD36)/BD36))</f>
        <v>0</v>
      </c>
      <c r="BE92" s="44">
        <f>IF(ISERROR((BE64-BE36)/BE36),0,((BE64-BE36)/BE36))</f>
        <v>0</v>
      </c>
      <c r="BF92" s="61">
        <f>IF(ISERROR((BF64-BF36)/BF36),0,((BF64-BF36)/BF36))</f>
        <v>0</v>
      </c>
      <c r="BG92" s="44">
        <f>IF(ISERROR((BG64-BG36)/BG36),0,((BG64-BG36)/BG36))</f>
        <v>0</v>
      </c>
      <c r="BH92" s="61">
        <f>IF(ISERROR((BH64-BH36)/BH36),0,((BH64-BH36)/BH36))</f>
        <v>0</v>
      </c>
      <c r="BI92" s="44">
        <f>IF(ISERROR((BI64-BI36)/BI36),0,((BI64-BI36)/BI36))</f>
        <v>0</v>
      </c>
      <c r="BJ92" s="61">
        <f>IF(ISERROR((BJ64-BJ36)/BJ36),0,((BJ64-BJ36)/BJ36))</f>
        <v>0</v>
      </c>
      <c r="BK92" s="44">
        <f>IF(ISERROR((BK64-BK36)/BK36),0,((BK64-BK36)/BK36))</f>
        <v>0</v>
      </c>
      <c r="BL92" s="61">
        <f>IF(ISERROR((BL64-BL36)/BL36),0,((BL64-BL36)/BL36))</f>
        <v>0</v>
      </c>
      <c r="BM92" s="44">
        <f>IF(ISERROR((BM64-BM36)/BM36),0,((BM64-BM36)/BM36))</f>
        <v>0</v>
      </c>
      <c r="BN92" s="61">
        <f>IF(ISERROR((BN64-BN36)/BN36),0,((BN64-BN36)/BN36))</f>
        <v>0</v>
      </c>
      <c r="BO92" s="45">
        <f t="shared" si="17"/>
        <v>0</v>
      </c>
      <c r="BP92" s="45">
        <f t="shared" si="18"/>
        <v>0</v>
      </c>
      <c r="BQ92" s="45">
        <f t="shared" si="19"/>
        <v>0</v>
      </c>
    </row>
    <row r="93" spans="1:69">
      <c r="A93" s="47">
        <f>A37</f>
        <v>100</v>
      </c>
      <c r="B93" s="30">
        <f t="shared" si="20"/>
        <v>2</v>
      </c>
      <c r="C93" s="7">
        <f>IF(ISERROR((C65-C37)/C37),0,((C65-C37)/C37))</f>
        <v>0</v>
      </c>
      <c r="D93" s="60">
        <f>IF(ISERROR((D65-D37)/D37),0,((D65-D37)/D37))</f>
        <v>0</v>
      </c>
      <c r="E93" s="7">
        <f>IF(ISERROR((E65-E37)/E37),0,((E65-E37)/E37))</f>
        <v>0</v>
      </c>
      <c r="F93" s="60">
        <f>IF(ISERROR((F65-F37)/F37),0,((F65-F37)/F37))</f>
        <v>0</v>
      </c>
      <c r="G93" s="7">
        <f>IF(ISERROR((G65-G37)/G37),0,((G65-G37)/G37))</f>
        <v>0</v>
      </c>
      <c r="H93" s="60">
        <f>IF(ISERROR((H65-H37)/H37),0,((H65-H37)/H37))</f>
        <v>0</v>
      </c>
      <c r="I93" s="7">
        <f>IF(ISERROR((I65-I37)/I37),0,((I65-I37)/I37))</f>
        <v>0</v>
      </c>
      <c r="J93" s="60">
        <f>IF(ISERROR((J65-J37)/J37),0,((J65-J37)/J37))</f>
        <v>0</v>
      </c>
      <c r="K93" s="7">
        <f>IF(ISERROR((K65-K37)/K37),0,((K65-K37)/K37))</f>
        <v>0</v>
      </c>
      <c r="L93" s="60">
        <f>IF(ISERROR((L65-L37)/L37),0,((L65-L37)/L37))</f>
        <v>0</v>
      </c>
      <c r="M93" s="7">
        <f>IF(ISERROR((M65-M37)/M37),0,((M65-M37)/M37))</f>
        <v>0</v>
      </c>
      <c r="N93" s="60">
        <f>IF(ISERROR((N65-N37)/N37),0,((N65-N37)/N37))</f>
        <v>0</v>
      </c>
      <c r="O93" s="7">
        <f>IF(ISERROR((O65-O37)/O37),0,((O65-O37)/O37))</f>
        <v>0</v>
      </c>
      <c r="P93" s="60">
        <f>IF(ISERROR((P65-P37)/P37),0,((P65-P37)/P37))</f>
        <v>0</v>
      </c>
      <c r="Q93" s="7">
        <f>IF(ISERROR((Q65-Q37)/Q37),0,((Q65-Q37)/Q37))</f>
        <v>0</v>
      </c>
      <c r="R93" s="60">
        <f>IF(ISERROR((R65-R37)/R37),0,((R65-R37)/R37))</f>
        <v>0</v>
      </c>
      <c r="S93" s="7">
        <f>IF(ISERROR((S65-S37)/S37),0,((S65-S37)/S37))</f>
        <v>0</v>
      </c>
      <c r="T93" s="60">
        <f>IF(ISERROR((T65-T37)/T37),0,((T65-T37)/T37))</f>
        <v>0</v>
      </c>
      <c r="U93" s="7">
        <f>IF(ISERROR((U65-U37)/U37),0,((U65-U37)/U37))</f>
        <v>0</v>
      </c>
      <c r="V93" s="60">
        <f>IF(ISERROR((V65-V37)/V37),0,((V65-V37)/V37))</f>
        <v>0</v>
      </c>
      <c r="W93" s="7">
        <f>IF(ISERROR((W65-W37)/W37),0,((W65-W37)/W37))</f>
        <v>0</v>
      </c>
      <c r="X93" s="60">
        <f>IF(ISERROR((X65-X37)/X37),0,((X65-X37)/X37))</f>
        <v>0</v>
      </c>
      <c r="Y93" s="7">
        <f>IF(ISERROR((Y65-Y37)/Y37),0,((Y65-Y37)/Y37))</f>
        <v>0</v>
      </c>
      <c r="Z93" s="60">
        <f>IF(ISERROR((Z65-Z37)/Z37),0,((Z65-Z37)/Z37))</f>
        <v>0</v>
      </c>
      <c r="AA93" s="7">
        <f>IF(ISERROR((AA65-AA37)/AA37),0,((AA65-AA37)/AA37))</f>
        <v>0</v>
      </c>
      <c r="AB93" s="60">
        <f>IF(ISERROR((AB65-AB37)/AB37),0,((AB65-AB37)/AB37))</f>
        <v>0</v>
      </c>
      <c r="AC93" s="7">
        <f>IF(ISERROR((AC65-AC37)/AC37),0,((AC65-AC37)/AC37))</f>
        <v>0</v>
      </c>
      <c r="AD93" s="60">
        <f>IF(ISERROR((AD65-AD37)/AD37),0,((AD65-AD37)/AD37))</f>
        <v>0</v>
      </c>
      <c r="AE93" s="7">
        <f>IF(ISERROR((AE65-AE37)/AE37),0,((AE65-AE37)/AE37))</f>
        <v>0</v>
      </c>
      <c r="AF93" s="60">
        <f>IF(ISERROR((AF65-AF37)/AF37),0,((AF65-AF37)/AF37))</f>
        <v>0</v>
      </c>
      <c r="AG93" s="7">
        <f>IF(ISERROR((AG65-AG37)/AG37),0,((AG65-AG37)/AG37))</f>
        <v>0</v>
      </c>
      <c r="AH93" s="60">
        <f>IF(ISERROR((AH65-AH37)/AH37),0,((AH65-AH37)/AH37))</f>
        <v>0</v>
      </c>
      <c r="AI93" s="7">
        <f>IF(ISERROR((AI65-AI37)/AI37),0,((AI65-AI37)/AI37))</f>
        <v>0</v>
      </c>
      <c r="AJ93" s="60">
        <f>IF(ISERROR((AJ65-AJ37)/AJ37),0,((AJ65-AJ37)/AJ37))</f>
        <v>0</v>
      </c>
      <c r="AK93" s="7">
        <f>IF(ISERROR((AK65-AK37)/AK37),0,((AK65-AK37)/AK37))</f>
        <v>0</v>
      </c>
      <c r="AL93" s="60">
        <f>IF(ISERROR((AL65-AL37)/AL37),0,((AL65-AL37)/AL37))</f>
        <v>0</v>
      </c>
      <c r="AM93" s="7">
        <f>IF(ISERROR((AM65-AM37)/AM37),0,((AM65-AM37)/AM37))</f>
        <v>0</v>
      </c>
      <c r="AN93" s="60">
        <f>IF(ISERROR((AN65-AN37)/AN37),0,((AN65-AN37)/AN37))</f>
        <v>0</v>
      </c>
      <c r="AO93" s="7">
        <f>IF(ISERROR((AO65-AO37)/AO37),0,((AO65-AO37)/AO37))</f>
        <v>0</v>
      </c>
      <c r="AP93" s="60">
        <f>IF(ISERROR((AP65-AP37)/AP37),0,((AP65-AP37)/AP37))</f>
        <v>0</v>
      </c>
      <c r="AQ93" s="7">
        <f>IF(ISERROR((AQ65-AQ37)/AQ37),0,((AQ65-AQ37)/AQ37))</f>
        <v>0</v>
      </c>
      <c r="AR93" s="60">
        <f>IF(ISERROR((AR65-AR37)/AR37),0,((AR65-AR37)/AR37))</f>
        <v>0</v>
      </c>
      <c r="AS93" s="7">
        <f>IF(ISERROR((AS65-AS37)/AS37),0,((AS65-AS37)/AS37))</f>
        <v>0</v>
      </c>
      <c r="AT93" s="60">
        <f>IF(ISERROR((AT65-AT37)/AT37),0,((AT65-AT37)/AT37))</f>
        <v>0</v>
      </c>
      <c r="AU93" s="7">
        <f>IF(ISERROR((AU65-AU37)/AU37),0,((AU65-AU37)/AU37))</f>
        <v>0</v>
      </c>
      <c r="AV93" s="60">
        <f>IF(ISERROR((AV65-AV37)/AV37),0,((AV65-AV37)/AV37))</f>
        <v>0</v>
      </c>
      <c r="AW93" s="7">
        <f>IF(ISERROR((AW65-AW37)/AW37),0,((AW65-AW37)/AW37))</f>
        <v>0</v>
      </c>
      <c r="AX93" s="60">
        <f>IF(ISERROR((AX65-AX37)/AX37),0,((AX65-AX37)/AX37))</f>
        <v>0</v>
      </c>
      <c r="AY93" s="7">
        <f>IF(ISERROR((AY65-AY37)/AY37),0,((AY65-AY37)/AY37))</f>
        <v>0</v>
      </c>
      <c r="AZ93" s="60">
        <f>IF(ISERROR((AZ65-AZ37)/AZ37),0,((AZ65-AZ37)/AZ37))</f>
        <v>0</v>
      </c>
      <c r="BA93" s="7">
        <f>IF(ISERROR((BA65-BA37)/BA37),0,((BA65-BA37)/BA37))</f>
        <v>0</v>
      </c>
      <c r="BB93" s="60">
        <f>IF(ISERROR((BB65-BB37)/BB37),0,((BB65-BB37)/BB37))</f>
        <v>0</v>
      </c>
      <c r="BC93" s="7">
        <f>IF(ISERROR((BC65-BC37)/BC37),0,((BC65-BC37)/BC37))</f>
        <v>0</v>
      </c>
      <c r="BD93" s="60">
        <f>IF(ISERROR((BD65-BD37)/BD37),0,((BD65-BD37)/BD37))</f>
        <v>0</v>
      </c>
      <c r="BE93" s="7">
        <f>IF(ISERROR((BE65-BE37)/BE37),0,((BE65-BE37)/BE37))</f>
        <v>0</v>
      </c>
      <c r="BF93" s="60">
        <f>IF(ISERROR((BF65-BF37)/BF37),0,((BF65-BF37)/BF37))</f>
        <v>0</v>
      </c>
      <c r="BG93" s="7">
        <f>IF(ISERROR((BG65-BG37)/BG37),0,((BG65-BG37)/BG37))</f>
        <v>0</v>
      </c>
      <c r="BH93" s="60">
        <f>IF(ISERROR((BH65-BH37)/BH37),0,((BH65-BH37)/BH37))</f>
        <v>0</v>
      </c>
      <c r="BI93" s="7">
        <f>IF(ISERROR((BI65-BI37)/BI37),0,((BI65-BI37)/BI37))</f>
        <v>0</v>
      </c>
      <c r="BJ93" s="60">
        <f>IF(ISERROR((BJ65-BJ37)/BJ37),0,((BJ65-BJ37)/BJ37))</f>
        <v>0</v>
      </c>
      <c r="BK93" s="7">
        <f>IF(ISERROR((BK65-BK37)/BK37),0,((BK65-BK37)/BK37))</f>
        <v>0</v>
      </c>
      <c r="BL93" s="60">
        <f>IF(ISERROR((BL65-BL37)/BL37),0,((BL65-BL37)/BL37))</f>
        <v>0</v>
      </c>
      <c r="BM93" s="7">
        <f>IF(ISERROR((BM65-BM37)/BM37),0,((BM65-BM37)/BM37))</f>
        <v>0</v>
      </c>
      <c r="BN93" s="60">
        <f>IF(ISERROR((BN65-BN37)/BN37),0,((BN65-BN37)/BN37))</f>
        <v>0</v>
      </c>
      <c r="BO93" s="100">
        <f t="shared" si="17"/>
        <v>0</v>
      </c>
      <c r="BP93" s="100">
        <f t="shared" si="18"/>
        <v>0</v>
      </c>
      <c r="BQ93" s="100">
        <f t="shared" si="19"/>
        <v>0</v>
      </c>
    </row>
    <row r="94" spans="1:69">
      <c r="A94" s="47">
        <f>A38</f>
        <v>100</v>
      </c>
      <c r="B94" s="30">
        <f t="shared" si="20"/>
        <v>3</v>
      </c>
      <c r="C94" s="7">
        <f>IF(ISERROR((C66-C38)/C38),0,((C66-C38)/C38))</f>
        <v>0</v>
      </c>
      <c r="D94" s="60">
        <f>IF(ISERROR((D66-D38)/D38),0,((D66-D38)/D38))</f>
        <v>0</v>
      </c>
      <c r="E94" s="7">
        <f>IF(ISERROR((E66-E38)/E38),0,((E66-E38)/E38))</f>
        <v>0</v>
      </c>
      <c r="F94" s="60">
        <f>IF(ISERROR((F66-F38)/F38),0,((F66-F38)/F38))</f>
        <v>0</v>
      </c>
      <c r="G94" s="7">
        <f>IF(ISERROR((G66-G38)/G38),0,((G66-G38)/G38))</f>
        <v>0</v>
      </c>
      <c r="H94" s="60">
        <f>IF(ISERROR((H66-H38)/H38),0,((H66-H38)/H38))</f>
        <v>0</v>
      </c>
      <c r="I94" s="7">
        <f>IF(ISERROR((I66-I38)/I38),0,((I66-I38)/I38))</f>
        <v>0</v>
      </c>
      <c r="J94" s="60">
        <f>IF(ISERROR((J66-J38)/J38),0,((J66-J38)/J38))</f>
        <v>0</v>
      </c>
      <c r="K94" s="7">
        <f>IF(ISERROR((K66-K38)/K38),0,((K66-K38)/K38))</f>
        <v>0</v>
      </c>
      <c r="L94" s="60">
        <f>IF(ISERROR((L66-L38)/L38),0,((L66-L38)/L38))</f>
        <v>0</v>
      </c>
      <c r="M94" s="7">
        <f>IF(ISERROR((M66-M38)/M38),0,((M66-M38)/M38))</f>
        <v>0</v>
      </c>
      <c r="N94" s="60">
        <f>IF(ISERROR((N66-N38)/N38),0,((N66-N38)/N38))</f>
        <v>0</v>
      </c>
      <c r="O94" s="7">
        <f>IF(ISERROR((O66-O38)/O38),0,((O66-O38)/O38))</f>
        <v>0</v>
      </c>
      <c r="P94" s="60">
        <f>IF(ISERROR((P66-P38)/P38),0,((P66-P38)/P38))</f>
        <v>0</v>
      </c>
      <c r="Q94" s="7">
        <f>IF(ISERROR((Q66-Q38)/Q38),0,((Q66-Q38)/Q38))</f>
        <v>0</v>
      </c>
      <c r="R94" s="60">
        <f>IF(ISERROR((R66-R38)/R38),0,((R66-R38)/R38))</f>
        <v>0</v>
      </c>
      <c r="S94" s="7">
        <f>IF(ISERROR((S66-S38)/S38),0,((S66-S38)/S38))</f>
        <v>0</v>
      </c>
      <c r="T94" s="60">
        <f>IF(ISERROR((T66-T38)/T38),0,((T66-T38)/T38))</f>
        <v>0</v>
      </c>
      <c r="U94" s="7">
        <f>IF(ISERROR((U66-U38)/U38),0,((U66-U38)/U38))</f>
        <v>0</v>
      </c>
      <c r="V94" s="60">
        <f>IF(ISERROR((V66-V38)/V38),0,((V66-V38)/V38))</f>
        <v>0</v>
      </c>
      <c r="W94" s="7">
        <f>IF(ISERROR((W66-W38)/W38),0,((W66-W38)/W38))</f>
        <v>0</v>
      </c>
      <c r="X94" s="60">
        <f>IF(ISERROR((X66-X38)/X38),0,((X66-X38)/X38))</f>
        <v>0</v>
      </c>
      <c r="Y94" s="7">
        <f>IF(ISERROR((Y66-Y38)/Y38),0,((Y66-Y38)/Y38))</f>
        <v>0</v>
      </c>
      <c r="Z94" s="60">
        <f>IF(ISERROR((Z66-Z38)/Z38),0,((Z66-Z38)/Z38))</f>
        <v>0</v>
      </c>
      <c r="AA94" s="7">
        <f>IF(ISERROR((AA66-AA38)/AA38),0,((AA66-AA38)/AA38))</f>
        <v>0</v>
      </c>
      <c r="AB94" s="60">
        <f>IF(ISERROR((AB66-AB38)/AB38),0,((AB66-AB38)/AB38))</f>
        <v>0</v>
      </c>
      <c r="AC94" s="7">
        <f>IF(ISERROR((AC66-AC38)/AC38),0,((AC66-AC38)/AC38))</f>
        <v>0</v>
      </c>
      <c r="AD94" s="60">
        <f>IF(ISERROR((AD66-AD38)/AD38),0,((AD66-AD38)/AD38))</f>
        <v>0</v>
      </c>
      <c r="AE94" s="7">
        <f>IF(ISERROR((AE66-AE38)/AE38),0,((AE66-AE38)/AE38))</f>
        <v>0</v>
      </c>
      <c r="AF94" s="60">
        <f>IF(ISERROR((AF66-AF38)/AF38),0,((AF66-AF38)/AF38))</f>
        <v>0</v>
      </c>
      <c r="AG94" s="7">
        <f>IF(ISERROR((AG66-AG38)/AG38),0,((AG66-AG38)/AG38))</f>
        <v>0</v>
      </c>
      <c r="AH94" s="60">
        <f>IF(ISERROR((AH66-AH38)/AH38),0,((AH66-AH38)/AH38))</f>
        <v>0</v>
      </c>
      <c r="AI94" s="7">
        <f>IF(ISERROR((AI66-AI38)/AI38),0,((AI66-AI38)/AI38))</f>
        <v>0</v>
      </c>
      <c r="AJ94" s="60">
        <f>IF(ISERROR((AJ66-AJ38)/AJ38),0,((AJ66-AJ38)/AJ38))</f>
        <v>0</v>
      </c>
      <c r="AK94" s="7">
        <f>IF(ISERROR((AK66-AK38)/AK38),0,((AK66-AK38)/AK38))</f>
        <v>0</v>
      </c>
      <c r="AL94" s="60">
        <f>IF(ISERROR((AL66-AL38)/AL38),0,((AL66-AL38)/AL38))</f>
        <v>0</v>
      </c>
      <c r="AM94" s="7">
        <f>IF(ISERROR((AM66-AM38)/AM38),0,((AM66-AM38)/AM38))</f>
        <v>0</v>
      </c>
      <c r="AN94" s="60">
        <f>IF(ISERROR((AN66-AN38)/AN38),0,((AN66-AN38)/AN38))</f>
        <v>0</v>
      </c>
      <c r="AO94" s="7">
        <f>IF(ISERROR((AO66-AO38)/AO38),0,((AO66-AO38)/AO38))</f>
        <v>0</v>
      </c>
      <c r="AP94" s="60">
        <f>IF(ISERROR((AP66-AP38)/AP38),0,((AP66-AP38)/AP38))</f>
        <v>0</v>
      </c>
      <c r="AQ94" s="7">
        <f>IF(ISERROR((AQ66-AQ38)/AQ38),0,((AQ66-AQ38)/AQ38))</f>
        <v>0</v>
      </c>
      <c r="AR94" s="60">
        <f>IF(ISERROR((AR66-AR38)/AR38),0,((AR66-AR38)/AR38))</f>
        <v>0</v>
      </c>
      <c r="AS94" s="7">
        <f>IF(ISERROR((AS66-AS38)/AS38),0,((AS66-AS38)/AS38))</f>
        <v>0</v>
      </c>
      <c r="AT94" s="60">
        <f>IF(ISERROR((AT66-AT38)/AT38),0,((AT66-AT38)/AT38))</f>
        <v>0</v>
      </c>
      <c r="AU94" s="7">
        <f>IF(ISERROR((AU66-AU38)/AU38),0,((AU66-AU38)/AU38))</f>
        <v>0</v>
      </c>
      <c r="AV94" s="60">
        <f>IF(ISERROR((AV66-AV38)/AV38),0,((AV66-AV38)/AV38))</f>
        <v>0</v>
      </c>
      <c r="AW94" s="7">
        <f>IF(ISERROR((AW66-AW38)/AW38),0,((AW66-AW38)/AW38))</f>
        <v>0</v>
      </c>
      <c r="AX94" s="60">
        <f>IF(ISERROR((AX66-AX38)/AX38),0,((AX66-AX38)/AX38))</f>
        <v>0</v>
      </c>
      <c r="AY94" s="7">
        <f>IF(ISERROR((AY66-AY38)/AY38),0,((AY66-AY38)/AY38))</f>
        <v>0</v>
      </c>
      <c r="AZ94" s="60">
        <f>IF(ISERROR((AZ66-AZ38)/AZ38),0,((AZ66-AZ38)/AZ38))</f>
        <v>0</v>
      </c>
      <c r="BA94" s="7">
        <f>IF(ISERROR((BA66-BA38)/BA38),0,((BA66-BA38)/BA38))</f>
        <v>0</v>
      </c>
      <c r="BB94" s="60">
        <f>IF(ISERROR((BB66-BB38)/BB38),0,((BB66-BB38)/BB38))</f>
        <v>0</v>
      </c>
      <c r="BC94" s="7">
        <f>IF(ISERROR((BC66-BC38)/BC38),0,((BC66-BC38)/BC38))</f>
        <v>0</v>
      </c>
      <c r="BD94" s="60">
        <f>IF(ISERROR((BD66-BD38)/BD38),0,((BD66-BD38)/BD38))</f>
        <v>0</v>
      </c>
      <c r="BE94" s="7">
        <f>IF(ISERROR((BE66-BE38)/BE38),0,((BE66-BE38)/BE38))</f>
        <v>0</v>
      </c>
      <c r="BF94" s="60">
        <f>IF(ISERROR((BF66-BF38)/BF38),0,((BF66-BF38)/BF38))</f>
        <v>0</v>
      </c>
      <c r="BG94" s="7">
        <f>IF(ISERROR((BG66-BG38)/BG38),0,((BG66-BG38)/BG38))</f>
        <v>0</v>
      </c>
      <c r="BH94" s="60">
        <f>IF(ISERROR((BH66-BH38)/BH38),0,((BH66-BH38)/BH38))</f>
        <v>0</v>
      </c>
      <c r="BI94" s="7">
        <f>IF(ISERROR((BI66-BI38)/BI38),0,((BI66-BI38)/BI38))</f>
        <v>0</v>
      </c>
      <c r="BJ94" s="60">
        <f>IF(ISERROR((BJ66-BJ38)/BJ38),0,((BJ66-BJ38)/BJ38))</f>
        <v>0</v>
      </c>
      <c r="BK94" s="7">
        <f>IF(ISERROR((BK66-BK38)/BK38),0,((BK66-BK38)/BK38))</f>
        <v>0</v>
      </c>
      <c r="BL94" s="60">
        <f>IF(ISERROR((BL66-BL38)/BL38),0,((BL66-BL38)/BL38))</f>
        <v>0</v>
      </c>
      <c r="BM94" s="7">
        <f>IF(ISERROR((BM66-BM38)/BM38),0,((BM66-BM38)/BM38))</f>
        <v>0</v>
      </c>
      <c r="BN94" s="60">
        <f>IF(ISERROR((BN66-BN38)/BN38),0,((BN66-BN38)/BN38))</f>
        <v>0</v>
      </c>
      <c r="BO94" s="100">
        <f t="shared" si="17"/>
        <v>0</v>
      </c>
      <c r="BP94" s="100">
        <f t="shared" si="18"/>
        <v>0</v>
      </c>
      <c r="BQ94" s="100">
        <f t="shared" si="19"/>
        <v>0</v>
      </c>
    </row>
    <row r="95" spans="1:69">
      <c r="A95" s="47">
        <f>A39</f>
        <v>100</v>
      </c>
      <c r="B95" s="30">
        <f t="shared" si="20"/>
        <v>5</v>
      </c>
      <c r="C95" s="7">
        <f>IF(ISERROR((C67-C39)/C39),0,((C67-C39)/C39))</f>
        <v>0</v>
      </c>
      <c r="D95" s="60">
        <f>IF(ISERROR((D67-D39)/D39),0,((D67-D39)/D39))</f>
        <v>0</v>
      </c>
      <c r="E95" s="7">
        <f>IF(ISERROR((E67-E39)/E39),0,((E67-E39)/E39))</f>
        <v>0</v>
      </c>
      <c r="F95" s="60">
        <f>IF(ISERROR((F67-F39)/F39),0,((F67-F39)/F39))</f>
        <v>0</v>
      </c>
      <c r="G95" s="7">
        <f>IF(ISERROR((G67-G39)/G39),0,((G67-G39)/G39))</f>
        <v>0</v>
      </c>
      <c r="H95" s="60">
        <f>IF(ISERROR((H67-H39)/H39),0,((H67-H39)/H39))</f>
        <v>0</v>
      </c>
      <c r="I95" s="7">
        <f>IF(ISERROR((I67-I39)/I39),0,((I67-I39)/I39))</f>
        <v>0</v>
      </c>
      <c r="J95" s="60">
        <f>IF(ISERROR((J67-J39)/J39),0,((J67-J39)/J39))</f>
        <v>0</v>
      </c>
      <c r="K95" s="7">
        <f>IF(ISERROR((K67-K39)/K39),0,((K67-K39)/K39))</f>
        <v>0</v>
      </c>
      <c r="L95" s="60">
        <f>IF(ISERROR((L67-L39)/L39),0,((L67-L39)/L39))</f>
        <v>0</v>
      </c>
      <c r="M95" s="7">
        <f>IF(ISERROR((M67-M39)/M39),0,((M67-M39)/M39))</f>
        <v>0</v>
      </c>
      <c r="N95" s="60">
        <f>IF(ISERROR((N67-N39)/N39),0,((N67-N39)/N39))</f>
        <v>0</v>
      </c>
      <c r="O95" s="7">
        <f>IF(ISERROR((O67-O39)/O39),0,((O67-O39)/O39))</f>
        <v>0</v>
      </c>
      <c r="P95" s="60">
        <f>IF(ISERROR((P67-P39)/P39),0,((P67-P39)/P39))</f>
        <v>0</v>
      </c>
      <c r="Q95" s="7">
        <f>IF(ISERROR((Q67-Q39)/Q39),0,((Q67-Q39)/Q39))</f>
        <v>0</v>
      </c>
      <c r="R95" s="60">
        <f>IF(ISERROR((R67-R39)/R39),0,((R67-R39)/R39))</f>
        <v>0</v>
      </c>
      <c r="S95" s="7">
        <f>IF(ISERROR((S67-S39)/S39),0,((S67-S39)/S39))</f>
        <v>0</v>
      </c>
      <c r="T95" s="60">
        <f>IF(ISERROR((T67-T39)/T39),0,((T67-T39)/T39))</f>
        <v>0</v>
      </c>
      <c r="U95" s="7">
        <f>IF(ISERROR((U67-U39)/U39),0,((U67-U39)/U39))</f>
        <v>0</v>
      </c>
      <c r="V95" s="60">
        <f>IF(ISERROR((V67-V39)/V39),0,((V67-V39)/V39))</f>
        <v>0</v>
      </c>
      <c r="W95" s="7">
        <f>IF(ISERROR((W67-W39)/W39),0,((W67-W39)/W39))</f>
        <v>0</v>
      </c>
      <c r="X95" s="60">
        <f>IF(ISERROR((X67-X39)/X39),0,((X67-X39)/X39))</f>
        <v>0</v>
      </c>
      <c r="Y95" s="7">
        <f>IF(ISERROR((Y67-Y39)/Y39),0,((Y67-Y39)/Y39))</f>
        <v>0</v>
      </c>
      <c r="Z95" s="60">
        <f>IF(ISERROR((Z67-Z39)/Z39),0,((Z67-Z39)/Z39))</f>
        <v>0</v>
      </c>
      <c r="AA95" s="7">
        <f>IF(ISERROR((AA67-AA39)/AA39),0,((AA67-AA39)/AA39))</f>
        <v>0</v>
      </c>
      <c r="AB95" s="60">
        <f>IF(ISERROR((AB67-AB39)/AB39),0,((AB67-AB39)/AB39))</f>
        <v>0</v>
      </c>
      <c r="AC95" s="7">
        <f>IF(ISERROR((AC67-AC39)/AC39),0,((AC67-AC39)/AC39))</f>
        <v>0</v>
      </c>
      <c r="AD95" s="60">
        <f>IF(ISERROR((AD67-AD39)/AD39),0,((AD67-AD39)/AD39))</f>
        <v>0</v>
      </c>
      <c r="AE95" s="7">
        <f>IF(ISERROR((AE67-AE39)/AE39),0,((AE67-AE39)/AE39))</f>
        <v>0</v>
      </c>
      <c r="AF95" s="60">
        <f>IF(ISERROR((AF67-AF39)/AF39),0,((AF67-AF39)/AF39))</f>
        <v>0</v>
      </c>
      <c r="AG95" s="7">
        <f>IF(ISERROR((AG67-AG39)/AG39),0,((AG67-AG39)/AG39))</f>
        <v>0</v>
      </c>
      <c r="AH95" s="60">
        <f>IF(ISERROR((AH67-AH39)/AH39),0,((AH67-AH39)/AH39))</f>
        <v>0</v>
      </c>
      <c r="AI95" s="7">
        <f>IF(ISERROR((AI67-AI39)/AI39),0,((AI67-AI39)/AI39))</f>
        <v>0</v>
      </c>
      <c r="AJ95" s="60">
        <f>IF(ISERROR((AJ67-AJ39)/AJ39),0,((AJ67-AJ39)/AJ39))</f>
        <v>0</v>
      </c>
      <c r="AK95" s="7">
        <f>IF(ISERROR((AK67-AK39)/AK39),0,((AK67-AK39)/AK39))</f>
        <v>0</v>
      </c>
      <c r="AL95" s="60">
        <f>IF(ISERROR((AL67-AL39)/AL39),0,((AL67-AL39)/AL39))</f>
        <v>0</v>
      </c>
      <c r="AM95" s="7">
        <f>IF(ISERROR((AM67-AM39)/AM39),0,((AM67-AM39)/AM39))</f>
        <v>0</v>
      </c>
      <c r="AN95" s="60">
        <f>IF(ISERROR((AN67-AN39)/AN39),0,((AN67-AN39)/AN39))</f>
        <v>0</v>
      </c>
      <c r="AO95" s="7">
        <f>IF(ISERROR((AO67-AO39)/AO39),0,((AO67-AO39)/AO39))</f>
        <v>0</v>
      </c>
      <c r="AP95" s="60">
        <f>IF(ISERROR((AP67-AP39)/AP39),0,((AP67-AP39)/AP39))</f>
        <v>0</v>
      </c>
      <c r="AQ95" s="7">
        <f>IF(ISERROR((AQ67-AQ39)/AQ39),0,((AQ67-AQ39)/AQ39))</f>
        <v>0</v>
      </c>
      <c r="AR95" s="60">
        <f>IF(ISERROR((AR67-AR39)/AR39),0,((AR67-AR39)/AR39))</f>
        <v>0</v>
      </c>
      <c r="AS95" s="7">
        <f>IF(ISERROR((AS67-AS39)/AS39),0,((AS67-AS39)/AS39))</f>
        <v>0</v>
      </c>
      <c r="AT95" s="60">
        <f>IF(ISERROR((AT67-AT39)/AT39),0,((AT67-AT39)/AT39))</f>
        <v>0</v>
      </c>
      <c r="AU95" s="7">
        <f>IF(ISERROR((AU67-AU39)/AU39),0,((AU67-AU39)/AU39))</f>
        <v>0</v>
      </c>
      <c r="AV95" s="60">
        <f>IF(ISERROR((AV67-AV39)/AV39),0,((AV67-AV39)/AV39))</f>
        <v>0</v>
      </c>
      <c r="AW95" s="7">
        <f>IF(ISERROR((AW67-AW39)/AW39),0,((AW67-AW39)/AW39))</f>
        <v>0</v>
      </c>
      <c r="AX95" s="60">
        <f>IF(ISERROR((AX67-AX39)/AX39),0,((AX67-AX39)/AX39))</f>
        <v>0</v>
      </c>
      <c r="AY95" s="7">
        <f>IF(ISERROR((AY67-AY39)/AY39),0,((AY67-AY39)/AY39))</f>
        <v>0</v>
      </c>
      <c r="AZ95" s="60">
        <f>IF(ISERROR((AZ67-AZ39)/AZ39),0,((AZ67-AZ39)/AZ39))</f>
        <v>0</v>
      </c>
      <c r="BA95" s="7">
        <f>IF(ISERROR((BA67-BA39)/BA39),0,((BA67-BA39)/BA39))</f>
        <v>0</v>
      </c>
      <c r="BB95" s="60">
        <f>IF(ISERROR((BB67-BB39)/BB39),0,((BB67-BB39)/BB39))</f>
        <v>0</v>
      </c>
      <c r="BC95" s="7">
        <f>IF(ISERROR((BC67-BC39)/BC39),0,((BC67-BC39)/BC39))</f>
        <v>0</v>
      </c>
      <c r="BD95" s="60">
        <f>IF(ISERROR((BD67-BD39)/BD39),0,((BD67-BD39)/BD39))</f>
        <v>0</v>
      </c>
      <c r="BE95" s="7">
        <f>IF(ISERROR((BE67-BE39)/BE39),0,((BE67-BE39)/BE39))</f>
        <v>0</v>
      </c>
      <c r="BF95" s="60">
        <f>IF(ISERROR((BF67-BF39)/BF39),0,((BF67-BF39)/BF39))</f>
        <v>0</v>
      </c>
      <c r="BG95" s="7">
        <f>IF(ISERROR((BG67-BG39)/BG39),0,((BG67-BG39)/BG39))</f>
        <v>0</v>
      </c>
      <c r="BH95" s="60">
        <f>IF(ISERROR((BH67-BH39)/BH39),0,((BH67-BH39)/BH39))</f>
        <v>0</v>
      </c>
      <c r="BI95" s="7">
        <f>IF(ISERROR((BI67-BI39)/BI39),0,((BI67-BI39)/BI39))</f>
        <v>0</v>
      </c>
      <c r="BJ95" s="60">
        <f>IF(ISERROR((BJ67-BJ39)/BJ39),0,((BJ67-BJ39)/BJ39))</f>
        <v>0</v>
      </c>
      <c r="BK95" s="7">
        <f>IF(ISERROR((BK67-BK39)/BK39),0,((BK67-BK39)/BK39))</f>
        <v>0</v>
      </c>
      <c r="BL95" s="60">
        <f>IF(ISERROR((BL67-BL39)/BL39),0,((BL67-BL39)/BL39))</f>
        <v>0</v>
      </c>
      <c r="BM95" s="7">
        <f>IF(ISERROR((BM67-BM39)/BM39),0,((BM67-BM39)/BM39))</f>
        <v>0</v>
      </c>
      <c r="BN95" s="60">
        <f>IF(ISERROR((BN67-BN39)/BN39),0,((BN67-BN39)/BN39))</f>
        <v>0</v>
      </c>
      <c r="BO95" s="100">
        <f t="shared" si="17"/>
        <v>0</v>
      </c>
      <c r="BP95" s="100">
        <f t="shared" si="18"/>
        <v>0</v>
      </c>
      <c r="BQ95" s="100">
        <f t="shared" si="19"/>
        <v>0</v>
      </c>
    </row>
    <row r="96" spans="1:69">
      <c r="A96" s="47">
        <f>A40</f>
        <v>100</v>
      </c>
      <c r="B96" s="30">
        <v>7</v>
      </c>
      <c r="C96" s="7">
        <f>IF(ISERROR((C68-C40)/C40),0,((C68-C40)/C40))</f>
        <v>0</v>
      </c>
      <c r="D96" s="60">
        <f>IF(ISERROR((D68-D40)/D40),0,((D68-D40)/D40))</f>
        <v>0</v>
      </c>
      <c r="E96" s="7">
        <f>IF(ISERROR((E68-E40)/E40),0,((E68-E40)/E40))</f>
        <v>0</v>
      </c>
      <c r="F96" s="60">
        <f>IF(ISERROR((F68-F40)/F40),0,((F68-F40)/F40))</f>
        <v>0</v>
      </c>
      <c r="G96" s="7">
        <f>IF(ISERROR((G68-G40)/G40),0,((G68-G40)/G40))</f>
        <v>0</v>
      </c>
      <c r="H96" s="60">
        <f>IF(ISERROR((H68-H40)/H40),0,((H68-H40)/H40))</f>
        <v>0</v>
      </c>
      <c r="I96" s="7">
        <f>IF(ISERROR((I68-I40)/I40),0,((I68-I40)/I40))</f>
        <v>0</v>
      </c>
      <c r="J96" s="60">
        <f>IF(ISERROR((J68-J40)/J40),0,((J68-J40)/J40))</f>
        <v>0</v>
      </c>
      <c r="K96" s="7">
        <f>IF(ISERROR((K68-K40)/K40),0,((K68-K40)/K40))</f>
        <v>0</v>
      </c>
      <c r="L96" s="60">
        <f>IF(ISERROR((L68-L40)/L40),0,((L68-L40)/L40))</f>
        <v>0</v>
      </c>
      <c r="M96" s="7">
        <f>IF(ISERROR((M68-M40)/M40),0,((M68-M40)/M40))</f>
        <v>0</v>
      </c>
      <c r="N96" s="60">
        <f>IF(ISERROR((N68-N40)/N40),0,((N68-N40)/N40))</f>
        <v>0</v>
      </c>
      <c r="O96" s="7">
        <f>IF(ISERROR((O68-O40)/O40),0,((O68-O40)/O40))</f>
        <v>0</v>
      </c>
      <c r="P96" s="60">
        <f>IF(ISERROR((P68-P40)/P40),0,((P68-P40)/P40))</f>
        <v>0</v>
      </c>
      <c r="Q96" s="7">
        <f>IF(ISERROR((Q68-Q40)/Q40),0,((Q68-Q40)/Q40))</f>
        <v>0</v>
      </c>
      <c r="R96" s="60">
        <f>IF(ISERROR((R68-R40)/R40),0,((R68-R40)/R40))</f>
        <v>0</v>
      </c>
      <c r="S96" s="7">
        <f>IF(ISERROR((S68-S40)/S40),0,((S68-S40)/S40))</f>
        <v>0</v>
      </c>
      <c r="T96" s="60">
        <f>IF(ISERROR((T68-T40)/T40),0,((T68-T40)/T40))</f>
        <v>0</v>
      </c>
      <c r="U96" s="7">
        <f>IF(ISERROR((U68-U40)/U40),0,((U68-U40)/U40))</f>
        <v>0</v>
      </c>
      <c r="V96" s="60">
        <f>IF(ISERROR((V68-V40)/V40),0,((V68-V40)/V40))</f>
        <v>0</v>
      </c>
      <c r="W96" s="7">
        <f>IF(ISERROR((W68-W40)/W40),0,((W68-W40)/W40))</f>
        <v>0</v>
      </c>
      <c r="X96" s="60">
        <f>IF(ISERROR((X68-X40)/X40),0,((X68-X40)/X40))</f>
        <v>0</v>
      </c>
      <c r="Y96" s="7">
        <f>IF(ISERROR((Y68-Y40)/Y40),0,((Y68-Y40)/Y40))</f>
        <v>0</v>
      </c>
      <c r="Z96" s="60">
        <f>IF(ISERROR((Z68-Z40)/Z40),0,((Z68-Z40)/Z40))</f>
        <v>0</v>
      </c>
      <c r="AA96" s="7">
        <f>IF(ISERROR((AA68-AA40)/AA40),0,((AA68-AA40)/AA40))</f>
        <v>0</v>
      </c>
      <c r="AB96" s="60">
        <f>IF(ISERROR((AB68-AB40)/AB40),0,((AB68-AB40)/AB40))</f>
        <v>0</v>
      </c>
      <c r="AC96" s="7">
        <f>IF(ISERROR((AC68-AC40)/AC40),0,((AC68-AC40)/AC40))</f>
        <v>0</v>
      </c>
      <c r="AD96" s="60">
        <f>IF(ISERROR((AD68-AD40)/AD40),0,((AD68-AD40)/AD40))</f>
        <v>0</v>
      </c>
      <c r="AE96" s="7">
        <f>IF(ISERROR((AE68-AE40)/AE40),0,((AE68-AE40)/AE40))</f>
        <v>0</v>
      </c>
      <c r="AF96" s="60">
        <f>IF(ISERROR((AF68-AF40)/AF40),0,((AF68-AF40)/AF40))</f>
        <v>0</v>
      </c>
      <c r="AG96" s="7">
        <f>IF(ISERROR((AG68-AG40)/AG40),0,((AG68-AG40)/AG40))</f>
        <v>0</v>
      </c>
      <c r="AH96" s="60">
        <f>IF(ISERROR((AH68-AH40)/AH40),0,((AH68-AH40)/AH40))</f>
        <v>0</v>
      </c>
      <c r="AI96" s="7">
        <f>IF(ISERROR((AI68-AI40)/AI40),0,((AI68-AI40)/AI40))</f>
        <v>0</v>
      </c>
      <c r="AJ96" s="60">
        <f>IF(ISERROR((AJ68-AJ40)/AJ40),0,((AJ68-AJ40)/AJ40))</f>
        <v>0</v>
      </c>
      <c r="AK96" s="7">
        <f>IF(ISERROR((AK68-AK40)/AK40),0,((AK68-AK40)/AK40))</f>
        <v>0</v>
      </c>
      <c r="AL96" s="60">
        <f>IF(ISERROR((AL68-AL40)/AL40),0,((AL68-AL40)/AL40))</f>
        <v>0</v>
      </c>
      <c r="AM96" s="7">
        <f>IF(ISERROR((AM68-AM40)/AM40),0,((AM68-AM40)/AM40))</f>
        <v>0</v>
      </c>
      <c r="AN96" s="60">
        <f>IF(ISERROR((AN68-AN40)/AN40),0,((AN68-AN40)/AN40))</f>
        <v>0</v>
      </c>
      <c r="AO96" s="7">
        <f>IF(ISERROR((AO68-AO40)/AO40),0,((AO68-AO40)/AO40))</f>
        <v>0</v>
      </c>
      <c r="AP96" s="60">
        <f>IF(ISERROR((AP68-AP40)/AP40),0,((AP68-AP40)/AP40))</f>
        <v>0</v>
      </c>
      <c r="AQ96" s="7">
        <f>IF(ISERROR((AQ68-AQ40)/AQ40),0,((AQ68-AQ40)/AQ40))</f>
        <v>0</v>
      </c>
      <c r="AR96" s="60">
        <f>IF(ISERROR((AR68-AR40)/AR40),0,((AR68-AR40)/AR40))</f>
        <v>0</v>
      </c>
      <c r="AS96" s="7">
        <f>IF(ISERROR((AS68-AS40)/AS40),0,((AS68-AS40)/AS40))</f>
        <v>0</v>
      </c>
      <c r="AT96" s="60">
        <f>IF(ISERROR((AT68-AT40)/AT40),0,((AT68-AT40)/AT40))</f>
        <v>0</v>
      </c>
      <c r="AU96" s="7">
        <f>IF(ISERROR((AU68-AU40)/AU40),0,((AU68-AU40)/AU40))</f>
        <v>0</v>
      </c>
      <c r="AV96" s="60">
        <f>IF(ISERROR((AV68-AV40)/AV40),0,((AV68-AV40)/AV40))</f>
        <v>0</v>
      </c>
      <c r="AW96" s="7">
        <f>IF(ISERROR((AW68-AW40)/AW40),0,((AW68-AW40)/AW40))</f>
        <v>0</v>
      </c>
      <c r="AX96" s="60">
        <f>IF(ISERROR((AX68-AX40)/AX40),0,((AX68-AX40)/AX40))</f>
        <v>0</v>
      </c>
      <c r="AY96" s="7">
        <f>IF(ISERROR((AY68-AY40)/AY40),0,((AY68-AY40)/AY40))</f>
        <v>0</v>
      </c>
      <c r="AZ96" s="60">
        <f>IF(ISERROR((AZ68-AZ40)/AZ40),0,((AZ68-AZ40)/AZ40))</f>
        <v>0</v>
      </c>
      <c r="BA96" s="7">
        <f>IF(ISERROR((BA68-BA40)/BA40),0,((BA68-BA40)/BA40))</f>
        <v>0</v>
      </c>
      <c r="BB96" s="60">
        <f>IF(ISERROR((BB68-BB40)/BB40),0,((BB68-BB40)/BB40))</f>
        <v>0</v>
      </c>
      <c r="BC96" s="7">
        <f>IF(ISERROR((BC68-BC40)/BC40),0,((BC68-BC40)/BC40))</f>
        <v>0</v>
      </c>
      <c r="BD96" s="60">
        <f>IF(ISERROR((BD68-BD40)/BD40),0,((BD68-BD40)/BD40))</f>
        <v>0</v>
      </c>
      <c r="BE96" s="7">
        <f>IF(ISERROR((BE68-BE40)/BE40),0,((BE68-BE40)/BE40))</f>
        <v>0</v>
      </c>
      <c r="BF96" s="60">
        <f>IF(ISERROR((BF68-BF40)/BF40),0,((BF68-BF40)/BF40))</f>
        <v>0</v>
      </c>
      <c r="BG96" s="7">
        <f>IF(ISERROR((BG68-BG40)/BG40),0,((BG68-BG40)/BG40))</f>
        <v>0</v>
      </c>
      <c r="BH96" s="60">
        <f>IF(ISERROR((BH68-BH40)/BH40),0,((BH68-BH40)/BH40))</f>
        <v>0</v>
      </c>
      <c r="BI96" s="7">
        <f>IF(ISERROR((BI68-BI40)/BI40),0,((BI68-BI40)/BI40))</f>
        <v>0</v>
      </c>
      <c r="BJ96" s="60">
        <f>IF(ISERROR((BJ68-BJ40)/BJ40),0,((BJ68-BJ40)/BJ40))</f>
        <v>0</v>
      </c>
      <c r="BK96" s="7">
        <f>IF(ISERROR((BK68-BK40)/BK40),0,((BK68-BK40)/BK40))</f>
        <v>0</v>
      </c>
      <c r="BL96" s="60">
        <f>IF(ISERROR((BL68-BL40)/BL40),0,((BL68-BL40)/BL40))</f>
        <v>0</v>
      </c>
      <c r="BM96" s="7">
        <f>IF(ISERROR((BM68-BM40)/BM40),0,((BM68-BM40)/BM40))</f>
        <v>0</v>
      </c>
      <c r="BN96" s="60">
        <f>IF(ISERROR((BN68-BN40)/BN40),0,((BN68-BN40)/BN40))</f>
        <v>0</v>
      </c>
      <c r="BO96" s="100">
        <f t="shared" si="17"/>
        <v>0</v>
      </c>
      <c r="BP96" s="100">
        <f t="shared" si="18"/>
        <v>0</v>
      </c>
      <c r="BQ96" s="100">
        <f t="shared" si="19"/>
        <v>0</v>
      </c>
    </row>
    <row r="97" spans="4:13">
      <c r="D97" s="5"/>
      <c r="E97" s="5"/>
      <c r="F97" s="5"/>
      <c r="G97" s="5"/>
      <c r="H97" s="5"/>
      <c r="I97" s="5"/>
      <c r="J97" s="5"/>
      <c r="K97" s="5"/>
      <c r="L97" s="5"/>
      <c r="M97" s="5"/>
    </row>
    <row r="98" spans="4:13">
      <c r="D98" s="5"/>
      <c r="E98" s="5"/>
      <c r="F98" s="5"/>
      <c r="G98" s="5"/>
      <c r="H98" s="5"/>
      <c r="I98" s="5"/>
      <c r="J98" s="5"/>
      <c r="K98" s="5"/>
      <c r="L98" s="5"/>
      <c r="M98" s="5"/>
    </row>
    <row r="99" spans="4:13">
      <c r="D99" s="5"/>
      <c r="E99" s="5"/>
      <c r="F99" s="5"/>
      <c r="G99" s="5"/>
      <c r="H99" s="5"/>
      <c r="I99" s="5"/>
      <c r="J99" s="5"/>
      <c r="K99" s="5"/>
      <c r="L99" s="5"/>
      <c r="M99" s="5"/>
    </row>
    <row r="100" spans="4:13">
      <c r="D100" s="5"/>
      <c r="E100" s="5"/>
      <c r="F100" s="5"/>
      <c r="G100" s="5"/>
      <c r="H100" s="5"/>
      <c r="I100" s="5"/>
      <c r="J100" s="5"/>
      <c r="K100" s="5"/>
      <c r="L100" s="5"/>
      <c r="M100" s="5"/>
    </row>
    <row r="101" spans="4:13">
      <c r="D101" s="5"/>
      <c r="E101" s="5"/>
      <c r="F101" s="5"/>
      <c r="G101" s="5"/>
      <c r="H101" s="5"/>
      <c r="I101" s="5"/>
      <c r="J101" s="5"/>
      <c r="K101" s="5"/>
      <c r="L101" s="5"/>
      <c r="M101" s="5"/>
    </row>
    <row r="102" spans="4:13"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4:13">
      <c r="D103" s="5"/>
      <c r="E103" s="5"/>
      <c r="F103" s="5"/>
      <c r="G103" s="5"/>
      <c r="H103" s="5"/>
      <c r="I103" s="5"/>
      <c r="J103" s="5"/>
      <c r="K103" s="5"/>
      <c r="L103" s="5"/>
      <c r="M103" s="5"/>
    </row>
    <row r="104" spans="4:13">
      <c r="D104" s="5"/>
      <c r="E104" s="5"/>
      <c r="F104" s="5"/>
      <c r="G104" s="5"/>
      <c r="H104" s="5"/>
      <c r="I104" s="5"/>
      <c r="J104" s="5"/>
      <c r="K104" s="5"/>
      <c r="L104" s="5"/>
      <c r="M104" s="5"/>
    </row>
    <row r="105" spans="4:13">
      <c r="D105" s="5"/>
      <c r="E105" s="5"/>
      <c r="F105" s="5"/>
      <c r="G105" s="5"/>
      <c r="H105" s="5"/>
      <c r="I105" s="5"/>
      <c r="J105" s="5"/>
      <c r="K105" s="5"/>
      <c r="L105" s="5"/>
      <c r="M105" s="5"/>
    </row>
    <row r="106" spans="4:13">
      <c r="D106" s="5"/>
      <c r="E106" s="5"/>
      <c r="F106" s="5"/>
      <c r="G106" s="5"/>
      <c r="H106" s="5"/>
      <c r="I106" s="5"/>
      <c r="J106" s="5"/>
      <c r="K106" s="5"/>
      <c r="L106" s="5"/>
      <c r="M106" s="5"/>
    </row>
    <row r="107" spans="4:13">
      <c r="D107" s="5"/>
      <c r="E107" s="5"/>
      <c r="F107" s="5"/>
      <c r="G107" s="5"/>
      <c r="H107" s="5"/>
      <c r="I107" s="5"/>
      <c r="J107" s="5"/>
      <c r="K107" s="5"/>
      <c r="L107" s="5"/>
      <c r="M107" s="5"/>
    </row>
    <row r="108" spans="4:13">
      <c r="D108" s="5"/>
      <c r="E108" s="5"/>
      <c r="F108" s="5"/>
      <c r="G108" s="5"/>
      <c r="H108" s="5"/>
      <c r="I108" s="5"/>
      <c r="J108" s="5"/>
      <c r="K108" s="5"/>
      <c r="L108" s="5"/>
      <c r="M108" s="5"/>
    </row>
    <row r="109" spans="4:13">
      <c r="D109" s="5"/>
      <c r="E109" s="5"/>
      <c r="F109" s="5"/>
      <c r="G109" s="5"/>
      <c r="H109" s="5"/>
      <c r="I109" s="5"/>
      <c r="J109" s="5"/>
      <c r="K109" s="5"/>
      <c r="L109" s="5"/>
      <c r="M109" s="5"/>
    </row>
    <row r="110" spans="4:13">
      <c r="D110" s="5"/>
      <c r="E110" s="5"/>
      <c r="F110" s="5"/>
      <c r="G110" s="5"/>
      <c r="H110" s="5"/>
      <c r="I110" s="5"/>
      <c r="J110" s="5"/>
      <c r="K110" s="5"/>
      <c r="L110" s="5"/>
      <c r="M110" s="5"/>
    </row>
    <row r="111" spans="4:13">
      <c r="D111" s="5"/>
      <c r="E111" s="5"/>
      <c r="F111" s="5"/>
      <c r="G111" s="5"/>
      <c r="H111" s="5"/>
      <c r="I111" s="5"/>
      <c r="J111" s="5"/>
      <c r="K111" s="5"/>
      <c r="L111" s="5"/>
      <c r="M111" s="5"/>
    </row>
    <row r="112" spans="4:13">
      <c r="D112" s="5"/>
      <c r="E112" s="5"/>
      <c r="F112" s="5"/>
      <c r="G112" s="5"/>
      <c r="H112" s="5"/>
      <c r="I112" s="5"/>
      <c r="J112" s="5"/>
      <c r="K112" s="5"/>
      <c r="L112" s="5"/>
      <c r="M112" s="5"/>
    </row>
    <row r="113" spans="3:13">
      <c r="D113" s="5"/>
      <c r="E113" s="5"/>
      <c r="F113" s="5"/>
      <c r="G113" s="5"/>
      <c r="H113" s="5"/>
      <c r="I113" s="5"/>
      <c r="J113" s="5"/>
      <c r="K113" s="5"/>
      <c r="L113" s="5"/>
      <c r="M113" s="5"/>
    </row>
    <row r="114" spans="3:13">
      <c r="D114" s="5"/>
      <c r="E114" s="5"/>
      <c r="F114" s="5"/>
      <c r="G114" s="5"/>
      <c r="H114" s="5"/>
      <c r="I114" s="5"/>
      <c r="J114" s="5"/>
      <c r="K114" s="5"/>
      <c r="L114" s="5"/>
      <c r="M114" s="5"/>
    </row>
    <row r="115" spans="3:13">
      <c r="D115" s="5"/>
      <c r="E115" s="5"/>
      <c r="F115" s="5"/>
      <c r="G115" s="5"/>
      <c r="H115" s="5"/>
      <c r="I115" s="5"/>
      <c r="J115" s="5"/>
      <c r="K115" s="5"/>
      <c r="L115" s="5"/>
      <c r="M115" s="5"/>
    </row>
    <row r="116" spans="3:13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</row>
    <row r="117" spans="3:13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</row>
    <row r="118" spans="3:13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</row>
    <row r="119" spans="3:13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</row>
    <row r="120" spans="3:13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</row>
    <row r="121" spans="3:13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</row>
    <row r="122" spans="3:13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</row>
    <row r="123" spans="3:13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</row>
    <row r="124" spans="3:13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</row>
  </sheetData>
  <mergeCells count="21">
    <mergeCell ref="I11:K11"/>
    <mergeCell ref="G12:H12"/>
    <mergeCell ref="I12:K12"/>
    <mergeCell ref="M13:N13"/>
    <mergeCell ref="C13:D13"/>
    <mergeCell ref="E13:F13"/>
    <mergeCell ref="G13:H13"/>
    <mergeCell ref="I13:J13"/>
    <mergeCell ref="K13:L13"/>
    <mergeCell ref="G8:H8"/>
    <mergeCell ref="G9:H9"/>
    <mergeCell ref="C10:D10"/>
    <mergeCell ref="C11:D11"/>
    <mergeCell ref="C9:D9"/>
    <mergeCell ref="G11:H11"/>
    <mergeCell ref="G7:H7"/>
    <mergeCell ref="C3:D3"/>
    <mergeCell ref="G3:H3"/>
    <mergeCell ref="G4:H4"/>
    <mergeCell ref="G5:H5"/>
    <mergeCell ref="G6:H6"/>
  </mergeCells>
  <phoneticPr fontId="2" type="noConversion"/>
  <conditionalFormatting sqref="C36:BN36">
    <cfRule type="cellIs" dxfId="1" priority="22" stopIfTrue="1" operator="notBetween">
      <formula>$C$5*(1-$C$6/100)</formula>
      <formula>$C$5*(1+$C$6/100)</formula>
    </cfRule>
  </conditionalFormatting>
  <conditionalFormatting sqref="C64:BN64">
    <cfRule type="cellIs" dxfId="0" priority="6" stopIfTrue="1" operator="notBetween">
      <formula>$C$5*(1-$C$6/100)</formula>
      <formula>$C$5*(1+$C$6/100)</formula>
    </cfRule>
  </conditionalFormatting>
  <dataValidations count="2">
    <dataValidation type="list" allowBlank="1" showInputMessage="1" showErrorMessage="1" sqref="I5:I6" xr:uid="{00000000-0002-0000-0000-000000000000}">
      <formula1>"ON,OFF"</formula1>
    </dataValidation>
    <dataValidation type="list" allowBlank="1" showInputMessage="1" showErrorMessage="1" sqref="I4" xr:uid="{00000000-0002-0000-0000-000001000000}">
      <formula1>"FRONT,REAR"</formula1>
    </dataValidation>
  </dataValidations>
  <pageMargins left="0.78740157499999996" right="0.78740157499999996" top="0.984251969" bottom="0.984251969" header="0.4921259845" footer="0.4921259845"/>
  <pageSetup paperSize="9" scale="59" orientation="landscape" r:id="rId1"/>
  <headerFooter alignWithMargins="0"/>
  <ignoredErrors>
    <ignoredError sqref="BO16:BQ40 BO68:BQ68 BO44:BQ48" formulaRange="1"/>
    <ignoredError sqref="BO72:BQ96" evalError="1"/>
  </ignoredErrors>
  <drawing r:id="rId2"/>
  <legacyDrawing r:id="rId3"/>
  <controls>
    <mc:AlternateContent xmlns:mc="http://schemas.openxmlformats.org/markup-compatibility/2006">
      <mc:Choice Requires="x14">
        <control shapeId="4120" r:id="rId4" name="cmdMeasure">
          <controlPr defaultSize="0" autoLine="0" r:id="rId5">
            <anchor moveWithCells="1">
              <from>
                <xdr:col>0</xdr:col>
                <xdr:colOff>19050</xdr:colOff>
                <xdr:row>10</xdr:row>
                <xdr:rowOff>161925</xdr:rowOff>
              </from>
              <to>
                <xdr:col>1</xdr:col>
                <xdr:colOff>581025</xdr:colOff>
                <xdr:row>12</xdr:row>
                <xdr:rowOff>171450</xdr:rowOff>
              </to>
            </anchor>
          </controlPr>
        </control>
      </mc:Choice>
      <mc:Fallback>
        <control shapeId="4120" r:id="rId4" name="cmdMeasure"/>
      </mc:Fallback>
    </mc:AlternateContent>
    <mc:AlternateContent xmlns:mc="http://schemas.openxmlformats.org/markup-compatibility/2006">
      <mc:Choice Requires="x14">
        <control shapeId="4121" r:id="rId6" name="Button 25">
          <controlPr defaultSize="0" print="0" autoFill="0" autoPict="0" macro="[0]!getData">
            <anchor moveWithCells="1" sizeWithCells="1">
              <from>
                <xdr:col>11</xdr:col>
                <xdr:colOff>342900</xdr:colOff>
                <xdr:row>5</xdr:row>
                <xdr:rowOff>95250</xdr:rowOff>
              </from>
              <to>
                <xdr:col>14</xdr:col>
                <xdr:colOff>552450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2" r:id="rId7" name="Button 26">
          <controlPr defaultSize="0" print="0" autoFill="0" autoPict="0" macro="[0]!getData2" altText="Get Data after txt">
            <anchor moveWithCells="1" sizeWithCells="1">
              <from>
                <xdr:col>11</xdr:col>
                <xdr:colOff>342900</xdr:colOff>
                <xdr:row>8</xdr:row>
                <xdr:rowOff>95250</xdr:rowOff>
              </from>
              <to>
                <xdr:col>14</xdr:col>
                <xdr:colOff>552450</xdr:colOff>
                <xdr:row>11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AI40"/>
  <sheetViews>
    <sheetView zoomScale="70" zoomScaleNormal="70" workbookViewId="0">
      <selection activeCell="D22" sqref="D22"/>
    </sheetView>
  </sheetViews>
  <sheetFormatPr defaultColWidth="9.140625" defaultRowHeight="20.25"/>
  <cols>
    <col min="1" max="2" width="9.140625" style="76"/>
    <col min="3" max="3" width="15.140625" customWidth="1"/>
    <col min="4" max="4" width="13.5703125" bestFit="1" customWidth="1"/>
    <col min="5" max="5" width="14.42578125" bestFit="1" customWidth="1"/>
    <col min="6" max="6" width="14.28515625" bestFit="1" customWidth="1"/>
  </cols>
  <sheetData>
    <row r="1" spans="1:35" ht="76.5">
      <c r="A1" s="71" t="s">
        <v>35</v>
      </c>
      <c r="B1" s="72">
        <f>Measurement!C8</f>
        <v>0</v>
      </c>
      <c r="C1" s="72"/>
      <c r="D1" s="73" t="s">
        <v>37</v>
      </c>
      <c r="E1" s="73" t="s">
        <v>39</v>
      </c>
      <c r="F1" s="73" t="s">
        <v>41</v>
      </c>
      <c r="G1" s="73" t="s">
        <v>43</v>
      </c>
      <c r="H1" s="73" t="s">
        <v>45</v>
      </c>
      <c r="I1" s="73" t="s">
        <v>47</v>
      </c>
      <c r="J1" s="73" t="s">
        <v>49</v>
      </c>
      <c r="K1" s="73" t="s">
        <v>51</v>
      </c>
      <c r="L1" s="73" t="s">
        <v>53</v>
      </c>
      <c r="M1" s="73" t="s">
        <v>55</v>
      </c>
      <c r="N1" s="73" t="s">
        <v>57</v>
      </c>
      <c r="O1" s="73" t="s">
        <v>59</v>
      </c>
      <c r="P1" s="73" t="s">
        <v>61</v>
      </c>
      <c r="Q1" s="73" t="s">
        <v>63</v>
      </c>
      <c r="R1" s="73" t="s">
        <v>65</v>
      </c>
      <c r="S1" s="73" t="s">
        <v>67</v>
      </c>
      <c r="T1" s="73" t="s">
        <v>69</v>
      </c>
      <c r="U1" s="73" t="s">
        <v>71</v>
      </c>
      <c r="V1" s="73" t="s">
        <v>73</v>
      </c>
      <c r="W1" s="73" t="s">
        <v>75</v>
      </c>
      <c r="X1" s="73" t="s">
        <v>77</v>
      </c>
      <c r="Y1" s="73" t="s">
        <v>79</v>
      </c>
      <c r="Z1" s="73" t="s">
        <v>81</v>
      </c>
      <c r="AA1" s="73" t="s">
        <v>83</v>
      </c>
      <c r="AB1" s="73" t="s">
        <v>85</v>
      </c>
      <c r="AC1" s="73" t="s">
        <v>87</v>
      </c>
      <c r="AD1" s="73" t="s">
        <v>89</v>
      </c>
      <c r="AE1" s="73" t="s">
        <v>91</v>
      </c>
      <c r="AF1" s="73" t="s">
        <v>93</v>
      </c>
      <c r="AG1" s="73" t="s">
        <v>95</v>
      </c>
      <c r="AH1" s="73" t="s">
        <v>97</v>
      </c>
      <c r="AI1" s="73" t="s">
        <v>99</v>
      </c>
    </row>
    <row r="2" spans="1:35">
      <c r="A2" s="58">
        <f>[1]Measurement!B15</f>
        <v>0</v>
      </c>
      <c r="B2" s="74" t="s">
        <v>105</v>
      </c>
      <c r="C2" s="74"/>
      <c r="D2" s="83">
        <f xml:space="preserve"> Measurement!D15</f>
        <v>0</v>
      </c>
      <c r="E2" s="83">
        <f xml:space="preserve"> Measurement!F15</f>
        <v>0</v>
      </c>
      <c r="F2" s="83">
        <f xml:space="preserve"> Measurement!H15</f>
        <v>0</v>
      </c>
      <c r="G2" s="83">
        <f xml:space="preserve"> Measurement!J15</f>
        <v>0</v>
      </c>
      <c r="H2" s="83">
        <f xml:space="preserve"> Measurement!L15</f>
        <v>0</v>
      </c>
      <c r="I2" s="83">
        <f xml:space="preserve"> Measurement!N15</f>
        <v>0</v>
      </c>
      <c r="J2" s="83">
        <f xml:space="preserve"> Measurement!P15</f>
        <v>0</v>
      </c>
      <c r="K2" s="83">
        <f xml:space="preserve"> Measurement!R15</f>
        <v>0</v>
      </c>
      <c r="L2" s="83">
        <f xml:space="preserve"> Measurement!T15</f>
        <v>0</v>
      </c>
      <c r="M2" s="83">
        <f xml:space="preserve"> Measurement!V15</f>
        <v>0</v>
      </c>
      <c r="N2" s="83">
        <f xml:space="preserve"> Measurement!X15</f>
        <v>0</v>
      </c>
      <c r="O2" s="83">
        <f xml:space="preserve"> Measurement!Z15</f>
        <v>0</v>
      </c>
      <c r="P2" s="83">
        <f xml:space="preserve"> Measurement!AB15</f>
        <v>0</v>
      </c>
      <c r="Q2" s="83">
        <f xml:space="preserve"> Measurement!AD15</f>
        <v>0</v>
      </c>
      <c r="R2" s="83">
        <f xml:space="preserve"> Measurement!AF15</f>
        <v>0</v>
      </c>
      <c r="S2" s="83">
        <f xml:space="preserve"> Measurement!AH15</f>
        <v>0</v>
      </c>
      <c r="T2" s="83">
        <f xml:space="preserve"> Measurement!AJ15</f>
        <v>0</v>
      </c>
      <c r="U2" s="83">
        <f xml:space="preserve"> Measurement!AL15</f>
        <v>0</v>
      </c>
      <c r="V2" s="83">
        <f xml:space="preserve"> Measurement!AN15</f>
        <v>0</v>
      </c>
      <c r="W2" s="83">
        <f xml:space="preserve"> Measurement!AP15</f>
        <v>0</v>
      </c>
      <c r="X2" s="83">
        <f xml:space="preserve"> Measurement!AR15</f>
        <v>0</v>
      </c>
      <c r="Y2" s="83">
        <f xml:space="preserve"> Measurement!AT15</f>
        <v>0</v>
      </c>
      <c r="Z2" s="83">
        <f xml:space="preserve"> Measurement!AV15</f>
        <v>0</v>
      </c>
      <c r="AA2" s="83">
        <f xml:space="preserve"> Measurement!AX15</f>
        <v>0</v>
      </c>
      <c r="AB2" s="83">
        <f xml:space="preserve"> Measurement!AZ15</f>
        <v>0</v>
      </c>
      <c r="AC2" s="83">
        <f xml:space="preserve"> Measurement!BB15</f>
        <v>0</v>
      </c>
      <c r="AD2" s="83">
        <f xml:space="preserve"> Measurement!BD15</f>
        <v>0</v>
      </c>
      <c r="AE2" s="83">
        <f xml:space="preserve"> Measurement!BF15</f>
        <v>0</v>
      </c>
      <c r="AF2" s="83">
        <f xml:space="preserve"> Measurement!BH15</f>
        <v>0</v>
      </c>
      <c r="AG2" s="83">
        <f xml:space="preserve"> Measurement!BJ15</f>
        <v>0</v>
      </c>
      <c r="AH2" s="83">
        <f xml:space="preserve"> Measurement!BL15</f>
        <v>0</v>
      </c>
      <c r="AI2" s="83">
        <f xml:space="preserve"> Measurement!BN15</f>
        <v>0</v>
      </c>
    </row>
    <row r="3" spans="1:35">
      <c r="A3" s="58">
        <f>[1]Measurement!B36</f>
        <v>1</v>
      </c>
      <c r="B3" s="74" t="s">
        <v>106</v>
      </c>
      <c r="C3" s="58" t="b">
        <f>IF(B1&gt;7,TRUE,FALSE)</f>
        <v>0</v>
      </c>
      <c r="D3" s="83">
        <f xml:space="preserve"> Measurement!D36</f>
        <v>0</v>
      </c>
      <c r="E3" s="83">
        <f xml:space="preserve"> Measurement!F36</f>
        <v>0</v>
      </c>
      <c r="F3" s="83">
        <f xml:space="preserve"> Measurement!H36</f>
        <v>0</v>
      </c>
      <c r="G3" s="83">
        <f xml:space="preserve"> Measurement!J36</f>
        <v>0</v>
      </c>
      <c r="H3" s="83">
        <f xml:space="preserve"> Measurement!L36</f>
        <v>0</v>
      </c>
      <c r="I3" s="83">
        <f xml:space="preserve"> Measurement!N36</f>
        <v>0</v>
      </c>
      <c r="J3" s="83">
        <f xml:space="preserve"> Measurement!P36</f>
        <v>0</v>
      </c>
      <c r="K3" s="83">
        <f xml:space="preserve"> Measurement!R36</f>
        <v>0</v>
      </c>
      <c r="L3" s="83">
        <f xml:space="preserve"> Measurement!T36</f>
        <v>0</v>
      </c>
      <c r="M3" s="83">
        <f xml:space="preserve"> Measurement!V36</f>
        <v>0</v>
      </c>
      <c r="N3" s="83">
        <f xml:space="preserve"> Measurement!X36</f>
        <v>0</v>
      </c>
      <c r="O3" s="83">
        <f xml:space="preserve"> Measurement!Z36</f>
        <v>0</v>
      </c>
      <c r="P3" s="83">
        <f xml:space="preserve"> Measurement!AB36</f>
        <v>0</v>
      </c>
      <c r="Q3" s="83">
        <f xml:space="preserve"> Measurement!AD36</f>
        <v>0</v>
      </c>
      <c r="R3" s="83">
        <f xml:space="preserve"> Measurement!AF36</f>
        <v>0</v>
      </c>
      <c r="S3" s="83">
        <f xml:space="preserve"> Measurement!AH36</f>
        <v>0</v>
      </c>
      <c r="T3" s="83">
        <f xml:space="preserve"> Measurement!AJ36</f>
        <v>0</v>
      </c>
      <c r="U3" s="83">
        <f xml:space="preserve"> Measurement!AL36</f>
        <v>0</v>
      </c>
      <c r="V3" s="83">
        <f xml:space="preserve"> Measurement!AN36</f>
        <v>0</v>
      </c>
      <c r="W3" s="83">
        <f xml:space="preserve"> Measurement!AP36</f>
        <v>0</v>
      </c>
      <c r="X3" s="83">
        <f xml:space="preserve"> Measurement!AR36</f>
        <v>0</v>
      </c>
      <c r="Y3" s="83">
        <f xml:space="preserve"> Measurement!AT36</f>
        <v>0</v>
      </c>
      <c r="Z3" s="83">
        <f xml:space="preserve"> Measurement!AV36</f>
        <v>0</v>
      </c>
      <c r="AA3" s="83">
        <f xml:space="preserve"> Measurement!AX36</f>
        <v>0</v>
      </c>
      <c r="AB3" s="83">
        <f xml:space="preserve"> Measurement!AZ36</f>
        <v>0</v>
      </c>
      <c r="AC3" s="83">
        <f xml:space="preserve"> Measurement!BB36</f>
        <v>0</v>
      </c>
      <c r="AD3" s="83">
        <f xml:space="preserve"> Measurement!BD36</f>
        <v>0</v>
      </c>
      <c r="AE3" s="83">
        <f xml:space="preserve"> Measurement!BF36</f>
        <v>0</v>
      </c>
      <c r="AF3" s="83">
        <f xml:space="preserve"> Measurement!BH36</f>
        <v>0</v>
      </c>
      <c r="AG3" s="83">
        <f xml:space="preserve"> Measurement!BJ36</f>
        <v>0</v>
      </c>
      <c r="AH3" s="83">
        <f xml:space="preserve"> Measurement!BL36</f>
        <v>0</v>
      </c>
      <c r="AI3" s="83">
        <f xml:space="preserve"> Measurement!BN36</f>
        <v>0</v>
      </c>
    </row>
    <row r="4" spans="1:35">
      <c r="A4" s="58">
        <f>[1]Measurement!B41</f>
        <v>10</v>
      </c>
      <c r="B4" s="74" t="s">
        <v>106</v>
      </c>
      <c r="C4" s="58" t="b">
        <f>IF(B1&lt;=7,TRUE,FALSE)</f>
        <v>1</v>
      </c>
      <c r="D4" s="83" t="e">
        <f xml:space="preserve"> Measurement!#REF!</f>
        <v>#REF!</v>
      </c>
      <c r="E4" s="83" t="e">
        <f xml:space="preserve"> Measurement!#REF!</f>
        <v>#REF!</v>
      </c>
      <c r="F4" s="83" t="e">
        <f xml:space="preserve"> Measurement!#REF!</f>
        <v>#REF!</v>
      </c>
      <c r="G4" s="83" t="e">
        <f xml:space="preserve"> Measurement!#REF!</f>
        <v>#REF!</v>
      </c>
      <c r="H4" s="83" t="e">
        <f xml:space="preserve"> Measurement!#REF!</f>
        <v>#REF!</v>
      </c>
      <c r="I4" s="83" t="e">
        <f xml:space="preserve"> Measurement!#REF!</f>
        <v>#REF!</v>
      </c>
      <c r="J4" s="83" t="e">
        <f xml:space="preserve"> Measurement!#REF!</f>
        <v>#REF!</v>
      </c>
      <c r="K4" s="83" t="e">
        <f xml:space="preserve"> Measurement!#REF!</f>
        <v>#REF!</v>
      </c>
      <c r="L4" s="83" t="e">
        <f xml:space="preserve"> Measurement!#REF!</f>
        <v>#REF!</v>
      </c>
      <c r="M4" s="83" t="e">
        <f xml:space="preserve"> Measurement!#REF!</f>
        <v>#REF!</v>
      </c>
      <c r="N4" s="83" t="e">
        <f xml:space="preserve"> Measurement!#REF!</f>
        <v>#REF!</v>
      </c>
      <c r="O4" s="83" t="e">
        <f xml:space="preserve"> Measurement!#REF!</f>
        <v>#REF!</v>
      </c>
      <c r="P4" s="83" t="e">
        <f xml:space="preserve"> Measurement!#REF!</f>
        <v>#REF!</v>
      </c>
      <c r="Q4" s="83" t="e">
        <f xml:space="preserve"> Measurement!#REF!</f>
        <v>#REF!</v>
      </c>
      <c r="R4" s="83" t="e">
        <f xml:space="preserve"> Measurement!#REF!</f>
        <v>#REF!</v>
      </c>
      <c r="S4" s="83" t="e">
        <f xml:space="preserve"> Measurement!#REF!</f>
        <v>#REF!</v>
      </c>
      <c r="T4" s="83" t="e">
        <f xml:space="preserve"> Measurement!#REF!</f>
        <v>#REF!</v>
      </c>
      <c r="U4" s="83" t="e">
        <f xml:space="preserve"> Measurement!#REF!</f>
        <v>#REF!</v>
      </c>
      <c r="V4" s="83" t="e">
        <f xml:space="preserve"> Measurement!#REF!</f>
        <v>#REF!</v>
      </c>
      <c r="W4" s="83" t="e">
        <f xml:space="preserve"> Measurement!#REF!</f>
        <v>#REF!</v>
      </c>
      <c r="X4" s="83" t="e">
        <f xml:space="preserve"> Measurement!#REF!</f>
        <v>#REF!</v>
      </c>
      <c r="Y4" s="83" t="e">
        <f xml:space="preserve"> Measurement!#REF!</f>
        <v>#REF!</v>
      </c>
      <c r="Z4" s="83" t="e">
        <f xml:space="preserve"> Measurement!#REF!</f>
        <v>#REF!</v>
      </c>
      <c r="AA4" s="83" t="e">
        <f xml:space="preserve"> Measurement!#REF!</f>
        <v>#REF!</v>
      </c>
      <c r="AB4" s="83" t="e">
        <f xml:space="preserve"> Measurement!#REF!</f>
        <v>#REF!</v>
      </c>
      <c r="AC4" s="83" t="e">
        <f xml:space="preserve"> Measurement!#REF!</f>
        <v>#REF!</v>
      </c>
      <c r="AD4" s="83" t="e">
        <f xml:space="preserve"> Measurement!#REF!</f>
        <v>#REF!</v>
      </c>
      <c r="AE4" s="83" t="e">
        <f xml:space="preserve"> Measurement!#REF!</f>
        <v>#REF!</v>
      </c>
      <c r="AF4" s="83" t="e">
        <f xml:space="preserve"> Measurement!#REF!</f>
        <v>#REF!</v>
      </c>
      <c r="AG4" s="83" t="e">
        <f xml:space="preserve"> Measurement!#REF!</f>
        <v>#REF!</v>
      </c>
      <c r="AH4" s="83" t="e">
        <f xml:space="preserve"> Measurement!#REF!</f>
        <v>#REF!</v>
      </c>
      <c r="AI4" s="83" t="e">
        <f xml:space="preserve"> Measurement!#REF!</f>
        <v>#REF!</v>
      </c>
    </row>
    <row r="6" spans="1:35" ht="12.75">
      <c r="A6"/>
      <c r="B6"/>
    </row>
    <row r="7" spans="1:35">
      <c r="A7"/>
      <c r="B7"/>
      <c r="C7" s="58"/>
      <c r="D7" s="75" t="s">
        <v>107</v>
      </c>
      <c r="E7" s="75" t="s">
        <v>108</v>
      </c>
      <c r="G7" s="76" t="s">
        <v>109</v>
      </c>
      <c r="I7" s="77" t="s">
        <v>110</v>
      </c>
    </row>
    <row r="8" spans="1:35" ht="15">
      <c r="A8"/>
      <c r="B8"/>
      <c r="C8" s="78"/>
      <c r="D8" s="79" t="s">
        <v>111</v>
      </c>
      <c r="E8" s="79" t="s">
        <v>112</v>
      </c>
      <c r="Q8" t="s">
        <v>113</v>
      </c>
    </row>
    <row r="9" spans="1:35" ht="15">
      <c r="A9"/>
      <c r="B9"/>
      <c r="C9" s="73" t="s">
        <v>37</v>
      </c>
      <c r="D9" s="79" t="e">
        <f>VLOOKUP(TRUE,$C$3:$AI$4,2,0)</f>
        <v>#REF!</v>
      </c>
      <c r="E9" s="58" cm="1">
        <f t="array" ref="E9:E40">TRANSPOSE(D2:AI2)</f>
        <v>0</v>
      </c>
      <c r="Q9" t="s">
        <v>114</v>
      </c>
      <c r="R9" t="s">
        <v>115</v>
      </c>
    </row>
    <row r="10" spans="1:35" ht="15">
      <c r="A10"/>
      <c r="B10"/>
      <c r="C10" s="73" t="s">
        <v>39</v>
      </c>
      <c r="D10" s="79" t="e">
        <f>VLOOKUP(TRUE,$C$3:$AI$4,3,0)</f>
        <v>#REF!</v>
      </c>
      <c r="E10" s="58">
        <v>0</v>
      </c>
      <c r="Q10" t="s">
        <v>116</v>
      </c>
      <c r="R10" s="80" t="s">
        <v>117</v>
      </c>
    </row>
    <row r="11" spans="1:35">
      <c r="C11" s="73" t="s">
        <v>41</v>
      </c>
      <c r="D11" s="79" t="e">
        <f>VLOOKUP(TRUE,$C$3:$AI$4,4,0)</f>
        <v>#REF!</v>
      </c>
      <c r="E11" s="58">
        <v>0</v>
      </c>
      <c r="Q11" t="s">
        <v>118</v>
      </c>
      <c r="R11" t="s">
        <v>119</v>
      </c>
    </row>
    <row r="12" spans="1:35">
      <c r="C12" s="73" t="s">
        <v>43</v>
      </c>
      <c r="D12" s="79" t="e">
        <f>VLOOKUP(TRUE,$C$3:$AI$4,5,0)</f>
        <v>#REF!</v>
      </c>
      <c r="E12" s="58">
        <v>0</v>
      </c>
      <c r="Q12" t="s">
        <v>120</v>
      </c>
      <c r="R12" t="s">
        <v>121</v>
      </c>
    </row>
    <row r="13" spans="1:35">
      <c r="C13" s="73" t="s">
        <v>45</v>
      </c>
      <c r="D13" s="79" t="e">
        <f>VLOOKUP(TRUE,$C$3:$AI$4,6,0)</f>
        <v>#REF!</v>
      </c>
      <c r="E13" s="58">
        <v>0</v>
      </c>
      <c r="Q13" t="s">
        <v>122</v>
      </c>
      <c r="R13" t="s">
        <v>123</v>
      </c>
    </row>
    <row r="14" spans="1:35">
      <c r="C14" s="73" t="s">
        <v>47</v>
      </c>
      <c r="D14" s="79" t="e">
        <f>VLOOKUP(TRUE,$C$3:$AI$4,7,0)</f>
        <v>#REF!</v>
      </c>
      <c r="E14" s="58">
        <v>0</v>
      </c>
      <c r="Q14" t="s">
        <v>124</v>
      </c>
      <c r="R14" t="s">
        <v>125</v>
      </c>
    </row>
    <row r="15" spans="1:35">
      <c r="C15" s="73" t="s">
        <v>49</v>
      </c>
      <c r="D15" s="79" t="e">
        <f>VLOOKUP(TRUE,$C$3:$AI$4,8,0)</f>
        <v>#REF!</v>
      </c>
      <c r="E15" s="58">
        <v>0</v>
      </c>
      <c r="Q15" t="s">
        <v>126</v>
      </c>
      <c r="R15" t="s">
        <v>127</v>
      </c>
    </row>
    <row r="16" spans="1:35">
      <c r="C16" s="73" t="s">
        <v>51</v>
      </c>
      <c r="D16" s="79" t="e">
        <f>VLOOKUP(TRUE,$C$3:$AI$4,9,0)</f>
        <v>#REF!</v>
      </c>
      <c r="E16" s="58">
        <v>0</v>
      </c>
    </row>
    <row r="17" spans="3:5">
      <c r="C17" s="73" t="s">
        <v>53</v>
      </c>
      <c r="D17" s="79" t="e">
        <f>VLOOKUP(TRUE,$C$3:$AI$4,10,0)</f>
        <v>#REF!</v>
      </c>
      <c r="E17" s="58">
        <v>0</v>
      </c>
    </row>
    <row r="18" spans="3:5">
      <c r="C18" s="73" t="s">
        <v>55</v>
      </c>
      <c r="D18" s="79" t="e">
        <f>VLOOKUP(TRUE,$C$3:$AI$4,11,0)</f>
        <v>#REF!</v>
      </c>
      <c r="E18" s="58">
        <v>0</v>
      </c>
    </row>
    <row r="19" spans="3:5">
      <c r="C19" s="73" t="s">
        <v>57</v>
      </c>
      <c r="D19" s="79" t="e">
        <f>VLOOKUP(TRUE,$C$3:$AI$4,12,0)</f>
        <v>#REF!</v>
      </c>
      <c r="E19" s="58">
        <v>0</v>
      </c>
    </row>
    <row r="20" spans="3:5">
      <c r="C20" s="73" t="s">
        <v>59</v>
      </c>
      <c r="D20" s="79" t="e">
        <f>VLOOKUP(TRUE,$C$3:$AI$4,13,0)</f>
        <v>#REF!</v>
      </c>
      <c r="E20" s="58">
        <v>0</v>
      </c>
    </row>
    <row r="21" spans="3:5">
      <c r="C21" s="73" t="s">
        <v>61</v>
      </c>
      <c r="D21" s="79" t="e">
        <f>VLOOKUP(TRUE,$C$3:$AI$4,14,0)</f>
        <v>#REF!</v>
      </c>
      <c r="E21" s="58">
        <v>0</v>
      </c>
    </row>
    <row r="22" spans="3:5">
      <c r="C22" s="73" t="s">
        <v>63</v>
      </c>
      <c r="D22" s="79" t="e">
        <f>VLOOKUP(TRUE,$C$3:$AI$4,15,0)</f>
        <v>#REF!</v>
      </c>
      <c r="E22" s="58">
        <v>0</v>
      </c>
    </row>
    <row r="23" spans="3:5">
      <c r="C23" s="73" t="s">
        <v>65</v>
      </c>
      <c r="D23" s="79" t="e">
        <f>VLOOKUP(TRUE,$C$3:$AI$4,16,0)</f>
        <v>#REF!</v>
      </c>
      <c r="E23" s="58">
        <v>0</v>
      </c>
    </row>
    <row r="24" spans="3:5">
      <c r="C24" s="73" t="s">
        <v>67</v>
      </c>
      <c r="D24" s="79" t="e">
        <f>VLOOKUP(TRUE,$C$3:$AI$4,17,0)</f>
        <v>#REF!</v>
      </c>
      <c r="E24" s="58">
        <v>0</v>
      </c>
    </row>
    <row r="25" spans="3:5">
      <c r="C25" s="73" t="s">
        <v>69</v>
      </c>
      <c r="D25" s="79" t="e">
        <f>VLOOKUP(TRUE,$C$3:$AI$4,18,0)</f>
        <v>#REF!</v>
      </c>
      <c r="E25" s="58">
        <v>0</v>
      </c>
    </row>
    <row r="26" spans="3:5">
      <c r="C26" s="73" t="s">
        <v>71</v>
      </c>
      <c r="D26" s="79" t="e">
        <f>VLOOKUP(TRUE,$C$3:$AI$4,19,0)</f>
        <v>#REF!</v>
      </c>
      <c r="E26" s="58">
        <v>0</v>
      </c>
    </row>
    <row r="27" spans="3:5">
      <c r="C27" s="73" t="s">
        <v>73</v>
      </c>
      <c r="D27" s="79" t="e">
        <f>VLOOKUP(TRUE,$C$3:$AI$4,20,0)</f>
        <v>#REF!</v>
      </c>
      <c r="E27" s="58">
        <v>0</v>
      </c>
    </row>
    <row r="28" spans="3:5">
      <c r="C28" s="73" t="s">
        <v>75</v>
      </c>
      <c r="D28" s="79" t="e">
        <f>VLOOKUP(TRUE,$C$3:$AI$4,21,0)</f>
        <v>#REF!</v>
      </c>
      <c r="E28" s="58">
        <v>0</v>
      </c>
    </row>
    <row r="29" spans="3:5">
      <c r="C29" s="73" t="s">
        <v>77</v>
      </c>
      <c r="D29" s="79" t="e">
        <f>VLOOKUP(TRUE,$C$3:$AI$4,22,0)</f>
        <v>#REF!</v>
      </c>
      <c r="E29" s="58">
        <v>0</v>
      </c>
    </row>
    <row r="30" spans="3:5">
      <c r="C30" s="73" t="s">
        <v>79</v>
      </c>
      <c r="D30" s="79" t="e">
        <f>VLOOKUP(TRUE,$C$3:$AI$4,23,0)</f>
        <v>#REF!</v>
      </c>
      <c r="E30" s="58">
        <v>0</v>
      </c>
    </row>
    <row r="31" spans="3:5">
      <c r="C31" s="73" t="s">
        <v>81</v>
      </c>
      <c r="D31" s="79" t="e">
        <f>VLOOKUP(TRUE,$C$3:$AI$4,24,0)</f>
        <v>#REF!</v>
      </c>
      <c r="E31" s="58">
        <v>0</v>
      </c>
    </row>
    <row r="32" spans="3:5">
      <c r="C32" s="73" t="s">
        <v>83</v>
      </c>
      <c r="D32" s="79" t="e">
        <f>VLOOKUP(TRUE,$C$3:$AI$4,25,0)</f>
        <v>#REF!</v>
      </c>
      <c r="E32" s="58">
        <v>0</v>
      </c>
    </row>
    <row r="33" spans="3:5">
      <c r="C33" s="73" t="s">
        <v>85</v>
      </c>
      <c r="D33" s="79" t="e">
        <f>VLOOKUP(TRUE,$C$3:$AI$4,26,0)</f>
        <v>#REF!</v>
      </c>
      <c r="E33" s="58">
        <v>0</v>
      </c>
    </row>
    <row r="34" spans="3:5">
      <c r="C34" s="73" t="s">
        <v>87</v>
      </c>
      <c r="D34" s="79" t="e">
        <f>VLOOKUP(TRUE,$C$3:$AI$4,27,0)</f>
        <v>#REF!</v>
      </c>
      <c r="E34" s="58">
        <v>0</v>
      </c>
    </row>
    <row r="35" spans="3:5">
      <c r="C35" s="73" t="s">
        <v>89</v>
      </c>
      <c r="D35" s="79" t="e">
        <f>VLOOKUP(TRUE,$C$3:$AI$4,28,0)</f>
        <v>#REF!</v>
      </c>
      <c r="E35" s="58">
        <v>0</v>
      </c>
    </row>
    <row r="36" spans="3:5">
      <c r="C36" s="73" t="s">
        <v>91</v>
      </c>
      <c r="D36" s="79" t="e">
        <f>VLOOKUP(TRUE,$C$3:$AI$4,29,0)</f>
        <v>#REF!</v>
      </c>
      <c r="E36" s="58">
        <v>0</v>
      </c>
    </row>
    <row r="37" spans="3:5">
      <c r="C37" s="73" t="s">
        <v>93</v>
      </c>
      <c r="D37" s="79" t="e">
        <f>VLOOKUP(TRUE,$C$3:$AI$4,30,0)</f>
        <v>#REF!</v>
      </c>
      <c r="E37" s="58">
        <v>0</v>
      </c>
    </row>
    <row r="38" spans="3:5">
      <c r="C38" s="73" t="s">
        <v>95</v>
      </c>
      <c r="D38" s="79" t="e">
        <f>VLOOKUP(TRUE,$C$3:$AI$4,31,0)</f>
        <v>#REF!</v>
      </c>
      <c r="E38" s="58">
        <v>0</v>
      </c>
    </row>
    <row r="39" spans="3:5">
      <c r="C39" s="73" t="s">
        <v>97</v>
      </c>
      <c r="D39" s="79" t="e">
        <f>VLOOKUP(TRUE,$C$3:$AI$4,32,0)</f>
        <v>#REF!</v>
      </c>
      <c r="E39" s="58">
        <v>0</v>
      </c>
    </row>
    <row r="40" spans="3:5">
      <c r="C40" s="73" t="s">
        <v>99</v>
      </c>
      <c r="D40" s="79" t="e">
        <f>VLOOKUP(TRUE,$C$3:$AI$4,33,0)</f>
        <v>#REF!</v>
      </c>
      <c r="E40" s="58">
        <v>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E22"/>
  <sheetViews>
    <sheetView zoomScaleNormal="100" workbookViewId="0">
      <selection activeCell="G2" sqref="G2"/>
    </sheetView>
  </sheetViews>
  <sheetFormatPr defaultColWidth="11.42578125" defaultRowHeight="12.75"/>
  <cols>
    <col min="1" max="5" width="40.7109375" customWidth="1"/>
  </cols>
  <sheetData>
    <row r="1" spans="1:5" ht="19.5" customHeight="1">
      <c r="A1" s="31" t="str">
        <f>CONCATENATE("Part ",COLUMN())</f>
        <v>Part 1</v>
      </c>
      <c r="B1" s="31" t="str">
        <f t="shared" ref="B1:E1" si="0">CONCATENATE("Part ",COLUMN())</f>
        <v>Part 2</v>
      </c>
      <c r="C1" s="31" t="str">
        <f t="shared" si="0"/>
        <v>Part 3</v>
      </c>
      <c r="D1" s="31" t="str">
        <f t="shared" si="0"/>
        <v>Part 4</v>
      </c>
      <c r="E1" s="31" t="str">
        <f t="shared" si="0"/>
        <v>Part 5</v>
      </c>
    </row>
    <row r="2" spans="1:5" ht="202.5" customHeight="1">
      <c r="A2" s="32"/>
      <c r="B2" s="32"/>
      <c r="C2" s="32"/>
      <c r="D2" s="32"/>
      <c r="E2" s="32"/>
    </row>
    <row r="3" spans="1:5">
      <c r="A3" s="32"/>
      <c r="B3" s="32"/>
      <c r="C3" s="32"/>
      <c r="D3" s="32"/>
      <c r="E3" s="32"/>
    </row>
    <row r="4" spans="1:5" ht="15" customHeight="1">
      <c r="A4" s="22" t="str">
        <f>CONCATENATE("Part ",COLUMN()+5)</f>
        <v>Part 6</v>
      </c>
      <c r="B4" s="22" t="str">
        <f>CONCATENATE("Part ",COLUMN()+5)</f>
        <v>Part 7</v>
      </c>
      <c r="C4" s="22" t="str">
        <f>CONCATENATE("Part ",COLUMN()+5)</f>
        <v>Part 8</v>
      </c>
      <c r="D4" s="22" t="str">
        <f>CONCATENATE("Part ",COLUMN()+5)</f>
        <v>Part 9</v>
      </c>
      <c r="E4" s="22" t="str">
        <f>CONCATENATE("Part ",COLUMN()+5)</f>
        <v>Part 10</v>
      </c>
    </row>
    <row r="5" spans="1:5" ht="202.5" customHeight="1">
      <c r="A5" s="23"/>
      <c r="B5" s="23"/>
      <c r="C5" s="23"/>
      <c r="D5" s="23"/>
      <c r="E5" s="23"/>
    </row>
    <row r="6" spans="1:5">
      <c r="A6" s="23"/>
      <c r="B6" s="23"/>
      <c r="C6" s="23"/>
      <c r="D6" s="23"/>
      <c r="E6" s="23"/>
    </row>
    <row r="7" spans="1:5">
      <c r="A7" s="33" t="str">
        <f>CONCATENATE("Part ",COLUMN()+10)</f>
        <v>Part 11</v>
      </c>
      <c r="B7" s="33" t="str">
        <f>CONCATENATE("Part ",COLUMN()+10)</f>
        <v>Part 12</v>
      </c>
      <c r="C7" s="33" t="str">
        <f>CONCATENATE("Part ",COLUMN()+10)</f>
        <v>Part 13</v>
      </c>
      <c r="D7" s="33" t="str">
        <f>CONCATENATE("Part ",COLUMN()+10)</f>
        <v>Part 14</v>
      </c>
      <c r="E7" s="33" t="str">
        <f>CONCATENATE("Part ",COLUMN()+10)</f>
        <v>Part 15</v>
      </c>
    </row>
    <row r="8" spans="1:5" ht="202.5" customHeight="1">
      <c r="A8" s="34"/>
      <c r="B8" s="34"/>
      <c r="C8" s="34"/>
      <c r="D8" s="34"/>
      <c r="E8" s="34"/>
    </row>
    <row r="9" spans="1:5">
      <c r="A9" s="34"/>
      <c r="B9" s="34"/>
      <c r="C9" s="34"/>
      <c r="D9" s="34"/>
      <c r="E9" s="34"/>
    </row>
    <row r="10" spans="1:5">
      <c r="A10" s="35" t="str">
        <f>CONCATENATE("Part ",COLUMN()+15)</f>
        <v>Part 16</v>
      </c>
      <c r="B10" s="35" t="str">
        <f>CONCATENATE("Part ",COLUMN()+15)</f>
        <v>Part 17</v>
      </c>
      <c r="C10" s="35" t="str">
        <f>CONCATENATE("Part ",COLUMN()+15)</f>
        <v>Part 18</v>
      </c>
      <c r="D10" s="35" t="str">
        <f>CONCATENATE("Part ",COLUMN()+15)</f>
        <v>Part 19</v>
      </c>
      <c r="E10" s="35" t="str">
        <f>CONCATENATE("Part ",COLUMN()+15)</f>
        <v>Part 20</v>
      </c>
    </row>
    <row r="11" spans="1:5" ht="202.5" customHeight="1">
      <c r="A11" s="36"/>
      <c r="B11" s="36"/>
      <c r="C11" s="36"/>
      <c r="D11" s="36"/>
      <c r="E11" s="36"/>
    </row>
    <row r="12" spans="1:5">
      <c r="A12" s="36"/>
      <c r="B12" s="36"/>
      <c r="C12" s="36"/>
      <c r="D12" s="36"/>
      <c r="E12" s="36"/>
    </row>
    <row r="13" spans="1:5">
      <c r="A13" s="37" t="str">
        <f>CONCATENATE("Part ",COLUMN()+20)</f>
        <v>Part 21</v>
      </c>
      <c r="B13" s="37" t="str">
        <f>CONCATENATE("Part ",COLUMN()+20)</f>
        <v>Part 22</v>
      </c>
      <c r="C13" s="37" t="str">
        <f>CONCATENATE("Part ",COLUMN()+20)</f>
        <v>Part 23</v>
      </c>
      <c r="D13" s="37" t="str">
        <f>CONCATENATE("Part ",COLUMN()+20)</f>
        <v>Part 24</v>
      </c>
      <c r="E13" s="37" t="str">
        <f>CONCATENATE("Part ",COLUMN()+20)</f>
        <v>Part 25</v>
      </c>
    </row>
    <row r="14" spans="1:5" ht="202.5" customHeight="1">
      <c r="A14" s="38"/>
      <c r="B14" s="38"/>
      <c r="C14" s="38"/>
      <c r="D14" s="38"/>
      <c r="E14" s="38"/>
    </row>
    <row r="15" spans="1:5">
      <c r="A15" s="38"/>
      <c r="B15" s="38"/>
      <c r="C15" s="38"/>
      <c r="D15" s="38"/>
      <c r="E15" s="38"/>
    </row>
    <row r="16" spans="1:5">
      <c r="A16" s="39" t="str">
        <f>CONCATENATE("Part ",COLUMN()+25)</f>
        <v>Part 26</v>
      </c>
      <c r="B16" s="39" t="str">
        <f>CONCATENATE("Part ",COLUMN()+25)</f>
        <v>Part 27</v>
      </c>
      <c r="C16" s="39" t="str">
        <f>CONCATENATE("Part ",COLUMN()+25)</f>
        <v>Part 28</v>
      </c>
      <c r="D16" s="39" t="str">
        <f>CONCATENATE("Part ",COLUMN()+25)</f>
        <v>Part 29</v>
      </c>
      <c r="E16" s="39" t="str">
        <f>CONCATENATE("Part ",COLUMN()+25)</f>
        <v>Part 30</v>
      </c>
    </row>
    <row r="17" spans="1:5" ht="202.5" customHeight="1">
      <c r="A17" s="40"/>
      <c r="B17" s="40"/>
      <c r="C17" s="40"/>
      <c r="D17" s="40"/>
      <c r="E17" s="40"/>
    </row>
    <row r="18" spans="1:5">
      <c r="A18" s="40"/>
      <c r="B18" s="40"/>
      <c r="C18" s="40"/>
      <c r="D18" s="40"/>
      <c r="E18" s="40"/>
    </row>
    <row r="19" spans="1:5">
      <c r="A19" s="50" t="str">
        <f>CONCATENATE("Part ",COLUMN()+30)</f>
        <v>Part 31</v>
      </c>
      <c r="B19" s="50" t="str">
        <f>CONCATENATE("Part ",COLUMN()+30)</f>
        <v>Part 32</v>
      </c>
      <c r="C19" s="8"/>
      <c r="D19" s="8"/>
      <c r="E19" s="8"/>
    </row>
    <row r="20" spans="1:5" ht="202.5" customHeight="1">
      <c r="A20" s="51"/>
      <c r="B20" s="51"/>
    </row>
    <row r="21" spans="1:5">
      <c r="A21" s="51"/>
      <c r="B21" s="51"/>
    </row>
    <row r="22" spans="1:5">
      <c r="A22" s="8"/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A60A51-0D0C-4523-BF1E-D250336BAE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Wuerth Elektronik eiSos GmbH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Robert.Demharter@we-online.de;Jochen.Baier@we-online.de</dc:creator>
  <cp:keywords/>
  <dc:description/>
  <cp:lastModifiedBy>Liu, Nick</cp:lastModifiedBy>
  <cp:revision/>
  <dcterms:created xsi:type="dcterms:W3CDTF">2003-12-11T15:14:54Z</dcterms:created>
  <dcterms:modified xsi:type="dcterms:W3CDTF">2025-01-23T07:12:09Z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1439399112</vt:i4>
  </property>
  <property fmtid="{D5CDD505-2E9C-101B-9397-08002B2CF9AE}" pid="3" name="_EmailSubject">
    <vt:lpwstr>Reflow Test report</vt:lpwstr>
  </property>
  <property fmtid="{D5CDD505-2E9C-101B-9397-08002B2CF9AE}" pid="4" name="_AuthorEmail">
    <vt:lpwstr>tim.muskat@we-online.de</vt:lpwstr>
  </property>
  <property fmtid="{D5CDD505-2E9C-101B-9397-08002B2CF9AE}" pid="5" name="_AuthorEmailDisplayName">
    <vt:lpwstr>Muskat, Tim</vt:lpwstr>
  </property>
  <property fmtid="{D5CDD505-2E9C-101B-9397-08002B2CF9AE}" pid="6" name="_PreviousAdHocReviewCycleID">
    <vt:i4>1439399112</vt:i4>
  </property>
  <property fmtid="{D5CDD505-2E9C-101B-9397-08002B2CF9AE}" pid="7" name="_ReviewingToolsShownOnce">
    <vt:lpwstr/>
  </property>
  <property fmtid="{D5CDD505-2E9C-101B-9397-08002B2CF9AE}" pid="8" name="TBCO_ScreenResolution">
    <vt:lpwstr>96 96 1680 1050</vt:lpwstr>
  </property>
</Properties>
</file>