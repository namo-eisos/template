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15" codeName="{00000000-0000-0000-0000-000000000000}"/>
  <workbookPr codeName="DieseArbeitsmappe"/>
  <mc:AlternateContent xmlns:mc="http://schemas.openxmlformats.org/markup-compatibility/2006">
    <mc:Choice Requires="x15">
      <x15ac:absPath xmlns:x15ac="http://schemas.microsoft.com/office/spreadsheetml/2010/11/ac" url="I:\User_Groups_Only\17_EMC_Product_&amp;_Development\Documentations\5_Templates\Measurement_Equipment\Equipment_Keithley_2410\"/>
    </mc:Choice>
  </mc:AlternateContent>
  <xr:revisionPtr revIDLastSave="0" documentId="11_AD700FA70FFF5A7514059CE2DB2EDBBFFC42E767" xr6:coauthVersionLast="47" xr6:coauthVersionMax="47" xr10:uidLastSave="{00000000-0000-0000-0000-000000000000}"/>
  <bookViews>
    <workbookView xWindow="28680" yWindow="-120" windowWidth="29040" windowHeight="17520" xr2:uid="{00000000-000D-0000-FFFF-FFFF00000000}"/>
  </bookViews>
  <sheets>
    <sheet name="Measurement" sheetId="4" r:id="rId1"/>
    <sheet name="VBR&amp;Ileak" sheetId="6" r:id="rId2"/>
    <sheet name="Graphs" sheetId="5" r:id="rId3"/>
  </sheets>
  <externalReferences>
    <externalReference r:id="rId4"/>
  </externalReferences>
  <definedNames>
    <definedName name="_xlnm.Print_Area" localSheetId="0">Measurement!#REF!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4" i="4" l="1"/>
  <c r="D104" i="4"/>
  <c r="E104" i="4"/>
  <c r="BO104" i="4" s="1"/>
  <c r="F104" i="4"/>
  <c r="BQ104" i="4" s="1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C105" i="4"/>
  <c r="BP105" i="4" s="1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V105" i="4"/>
  <c r="W105" i="4"/>
  <c r="X105" i="4"/>
  <c r="Y105" i="4"/>
  <c r="Z105" i="4"/>
  <c r="AA105" i="4"/>
  <c r="AB105" i="4"/>
  <c r="AC105" i="4"/>
  <c r="AD105" i="4"/>
  <c r="AE105" i="4"/>
  <c r="AF105" i="4"/>
  <c r="AG105" i="4"/>
  <c r="AH105" i="4"/>
  <c r="AI105" i="4"/>
  <c r="AJ105" i="4"/>
  <c r="AK105" i="4"/>
  <c r="AL105" i="4"/>
  <c r="AM105" i="4"/>
  <c r="AN105" i="4"/>
  <c r="AO105" i="4"/>
  <c r="AP105" i="4"/>
  <c r="AQ105" i="4"/>
  <c r="AR105" i="4"/>
  <c r="AS105" i="4"/>
  <c r="AT105" i="4"/>
  <c r="AU105" i="4"/>
  <c r="AV105" i="4"/>
  <c r="AW105" i="4"/>
  <c r="AX105" i="4"/>
  <c r="AY105" i="4"/>
  <c r="AZ105" i="4"/>
  <c r="BA105" i="4"/>
  <c r="BB105" i="4"/>
  <c r="BC105" i="4"/>
  <c r="BD105" i="4"/>
  <c r="BE105" i="4"/>
  <c r="BF105" i="4"/>
  <c r="BG105" i="4"/>
  <c r="BH105" i="4"/>
  <c r="BI105" i="4"/>
  <c r="BJ105" i="4"/>
  <c r="BK105" i="4"/>
  <c r="BL105" i="4"/>
  <c r="BM105" i="4"/>
  <c r="BN105" i="4"/>
  <c r="BO105" i="4"/>
  <c r="C106" i="4"/>
  <c r="BQ106" i="4" s="1"/>
  <c r="D106" i="4"/>
  <c r="BO106" i="4" s="1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BP106" i="4" s="1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A106" i="4"/>
  <c r="BB106" i="4"/>
  <c r="BC106" i="4"/>
  <c r="BD106" i="4"/>
  <c r="BE106" i="4"/>
  <c r="BF106" i="4"/>
  <c r="BG106" i="4"/>
  <c r="BH106" i="4"/>
  <c r="BI106" i="4"/>
  <c r="BJ106" i="4"/>
  <c r="BK106" i="4"/>
  <c r="BL106" i="4"/>
  <c r="BM106" i="4"/>
  <c r="BN106" i="4"/>
  <c r="C107" i="4"/>
  <c r="D107" i="4"/>
  <c r="BO107" i="4" s="1"/>
  <c r="E107" i="4"/>
  <c r="BP107" i="4" s="1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U107" i="4"/>
  <c r="V107" i="4"/>
  <c r="W107" i="4"/>
  <c r="X107" i="4"/>
  <c r="Y107" i="4"/>
  <c r="Z107" i="4"/>
  <c r="AA107" i="4"/>
  <c r="AB107" i="4"/>
  <c r="AC107" i="4"/>
  <c r="AD107" i="4"/>
  <c r="AE107" i="4"/>
  <c r="AF107" i="4"/>
  <c r="AG107" i="4"/>
  <c r="AH107" i="4"/>
  <c r="AI107" i="4"/>
  <c r="AJ107" i="4"/>
  <c r="AK107" i="4"/>
  <c r="AL107" i="4"/>
  <c r="AM107" i="4"/>
  <c r="AN107" i="4"/>
  <c r="AO107" i="4"/>
  <c r="AP107" i="4"/>
  <c r="AQ107" i="4"/>
  <c r="AR107" i="4"/>
  <c r="AS107" i="4"/>
  <c r="AT107" i="4"/>
  <c r="AU107" i="4"/>
  <c r="AV107" i="4"/>
  <c r="AW107" i="4"/>
  <c r="AX107" i="4"/>
  <c r="AY107" i="4"/>
  <c r="AZ107" i="4"/>
  <c r="BA107" i="4"/>
  <c r="BB107" i="4"/>
  <c r="BC107" i="4"/>
  <c r="BD107" i="4"/>
  <c r="BE107" i="4"/>
  <c r="BF107" i="4"/>
  <c r="BG107" i="4"/>
  <c r="BH107" i="4"/>
  <c r="BI107" i="4"/>
  <c r="BJ107" i="4"/>
  <c r="BK107" i="4"/>
  <c r="BL107" i="4"/>
  <c r="BM107" i="4"/>
  <c r="BN107" i="4"/>
  <c r="BQ107" i="4"/>
  <c r="C108" i="4"/>
  <c r="D108" i="4"/>
  <c r="E108" i="4"/>
  <c r="BO108" i="4" s="1"/>
  <c r="F108" i="4"/>
  <c r="BQ108" i="4" s="1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AL108" i="4"/>
  <c r="AM108" i="4"/>
  <c r="AN108" i="4"/>
  <c r="AO108" i="4"/>
  <c r="AP108" i="4"/>
  <c r="AQ108" i="4"/>
  <c r="AR108" i="4"/>
  <c r="AS108" i="4"/>
  <c r="AT108" i="4"/>
  <c r="AU108" i="4"/>
  <c r="AV108" i="4"/>
  <c r="AW108" i="4"/>
  <c r="AX108" i="4"/>
  <c r="AY108" i="4"/>
  <c r="AZ108" i="4"/>
  <c r="BA108" i="4"/>
  <c r="BB108" i="4"/>
  <c r="BC108" i="4"/>
  <c r="BD108" i="4"/>
  <c r="BE108" i="4"/>
  <c r="BF108" i="4"/>
  <c r="BG108" i="4"/>
  <c r="BH108" i="4"/>
  <c r="BI108" i="4"/>
  <c r="BJ108" i="4"/>
  <c r="BK108" i="4"/>
  <c r="BL108" i="4"/>
  <c r="BM108" i="4"/>
  <c r="BN108" i="4"/>
  <c r="BO72" i="4"/>
  <c r="BP72" i="4"/>
  <c r="BQ72" i="4"/>
  <c r="BO73" i="4"/>
  <c r="BP73" i="4"/>
  <c r="BQ73" i="4"/>
  <c r="BO74" i="4"/>
  <c r="BP74" i="4"/>
  <c r="BQ74" i="4"/>
  <c r="BO75" i="4"/>
  <c r="BP75" i="4"/>
  <c r="BQ75" i="4"/>
  <c r="BO76" i="4"/>
  <c r="BP76" i="4"/>
  <c r="BQ76" i="4"/>
  <c r="BO40" i="4"/>
  <c r="BP40" i="4"/>
  <c r="BQ40" i="4"/>
  <c r="BO41" i="4"/>
  <c r="BP41" i="4"/>
  <c r="BQ41" i="4"/>
  <c r="BO42" i="4"/>
  <c r="BP42" i="4"/>
  <c r="BQ42" i="4"/>
  <c r="BO43" i="4"/>
  <c r="BP43" i="4"/>
  <c r="BQ43" i="4"/>
  <c r="BO44" i="4"/>
  <c r="BP44" i="4"/>
  <c r="BQ44" i="4"/>
  <c r="BP108" i="4" l="1"/>
  <c r="BQ105" i="4"/>
  <c r="BP104" i="4"/>
  <c r="B1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AI2" i="6" l="1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A4" i="6"/>
  <c r="A3" i="6"/>
  <c r="A2" i="6"/>
  <c r="C4" i="6"/>
  <c r="E9" i="6" l="1" a="1"/>
  <c r="E9" i="6" s="1"/>
  <c r="C3" i="6"/>
  <c r="B79" i="4"/>
  <c r="B47" i="4"/>
  <c r="B15" i="4"/>
  <c r="D40" i="6" l="1"/>
  <c r="D39" i="6"/>
  <c r="D25" i="6"/>
  <c r="D11" i="6"/>
  <c r="D38" i="6"/>
  <c r="D24" i="6"/>
  <c r="D10" i="6"/>
  <c r="D37" i="6"/>
  <c r="D23" i="6"/>
  <c r="D36" i="6"/>
  <c r="D22" i="6"/>
  <c r="D35" i="6"/>
  <c r="D21" i="6"/>
  <c r="D34" i="6"/>
  <c r="D20" i="6"/>
  <c r="D33" i="6"/>
  <c r="D19" i="6"/>
  <c r="D26" i="6"/>
  <c r="D32" i="6"/>
  <c r="D18" i="6"/>
  <c r="D31" i="6"/>
  <c r="D17" i="6"/>
  <c r="D30" i="6"/>
  <c r="D16" i="6"/>
  <c r="D12" i="6"/>
  <c r="D29" i="6"/>
  <c r="D15" i="6"/>
  <c r="D28" i="6"/>
  <c r="D14" i="6"/>
  <c r="D27" i="6"/>
  <c r="D13" i="6"/>
  <c r="D9" i="6"/>
  <c r="BO47" i="4"/>
  <c r="BP47" i="4"/>
  <c r="BQ47" i="4"/>
  <c r="BO15" i="4"/>
  <c r="BP15" i="4"/>
  <c r="BQ15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 l="1"/>
  <c r="BQ79" i="4"/>
  <c r="BP79" i="4"/>
  <c r="Q5" i="4"/>
  <c r="Q4" i="4"/>
  <c r="B1" i="5" l="1"/>
  <c r="C1" i="5"/>
  <c r="D1" i="5"/>
  <c r="E1" i="5"/>
  <c r="A1" i="5"/>
  <c r="A4" i="5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AK80" i="4"/>
  <c r="AL80" i="4"/>
  <c r="AM80" i="4"/>
  <c r="AN80" i="4"/>
  <c r="AO80" i="4"/>
  <c r="AP80" i="4"/>
  <c r="AQ80" i="4"/>
  <c r="AR80" i="4"/>
  <c r="AS80" i="4"/>
  <c r="AT80" i="4"/>
  <c r="AU80" i="4"/>
  <c r="AV80" i="4"/>
  <c r="AW80" i="4"/>
  <c r="AX80" i="4"/>
  <c r="AY80" i="4"/>
  <c r="AZ80" i="4"/>
  <c r="BA80" i="4"/>
  <c r="BB80" i="4"/>
  <c r="BC80" i="4"/>
  <c r="BD80" i="4"/>
  <c r="BE80" i="4"/>
  <c r="BF80" i="4"/>
  <c r="BG80" i="4"/>
  <c r="BH80" i="4"/>
  <c r="BI80" i="4"/>
  <c r="BJ80" i="4"/>
  <c r="BK80" i="4"/>
  <c r="BL80" i="4"/>
  <c r="BM80" i="4"/>
  <c r="BN80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AK81" i="4"/>
  <c r="AL81" i="4"/>
  <c r="AM81" i="4"/>
  <c r="AN81" i="4"/>
  <c r="AO81" i="4"/>
  <c r="AP81" i="4"/>
  <c r="AQ81" i="4"/>
  <c r="AR81" i="4"/>
  <c r="AS81" i="4"/>
  <c r="AT81" i="4"/>
  <c r="AU81" i="4"/>
  <c r="AV81" i="4"/>
  <c r="AW81" i="4"/>
  <c r="AX81" i="4"/>
  <c r="AY81" i="4"/>
  <c r="AZ81" i="4"/>
  <c r="BA81" i="4"/>
  <c r="BB81" i="4"/>
  <c r="BC81" i="4"/>
  <c r="BD81" i="4"/>
  <c r="BE81" i="4"/>
  <c r="BF81" i="4"/>
  <c r="BG81" i="4"/>
  <c r="BH81" i="4"/>
  <c r="BI81" i="4"/>
  <c r="BJ81" i="4"/>
  <c r="BK81" i="4"/>
  <c r="BL81" i="4"/>
  <c r="BM81" i="4"/>
  <c r="BN81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AK82" i="4"/>
  <c r="AL82" i="4"/>
  <c r="AM82" i="4"/>
  <c r="AN82" i="4"/>
  <c r="AO82" i="4"/>
  <c r="AP82" i="4"/>
  <c r="AQ82" i="4"/>
  <c r="AR82" i="4"/>
  <c r="AS82" i="4"/>
  <c r="AT82" i="4"/>
  <c r="AU82" i="4"/>
  <c r="AV82" i="4"/>
  <c r="AW82" i="4"/>
  <c r="AX82" i="4"/>
  <c r="AY82" i="4"/>
  <c r="AZ82" i="4"/>
  <c r="BA82" i="4"/>
  <c r="BB82" i="4"/>
  <c r="BC82" i="4"/>
  <c r="BD82" i="4"/>
  <c r="BE82" i="4"/>
  <c r="BF82" i="4"/>
  <c r="BG82" i="4"/>
  <c r="BH82" i="4"/>
  <c r="BI82" i="4"/>
  <c r="BJ82" i="4"/>
  <c r="BK82" i="4"/>
  <c r="BL82" i="4"/>
  <c r="BM82" i="4"/>
  <c r="BN82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AM83" i="4"/>
  <c r="AN83" i="4"/>
  <c r="AO83" i="4"/>
  <c r="AP83" i="4"/>
  <c r="AQ83" i="4"/>
  <c r="AR83" i="4"/>
  <c r="AS83" i="4"/>
  <c r="AT83" i="4"/>
  <c r="AU83" i="4"/>
  <c r="AV83" i="4"/>
  <c r="AW83" i="4"/>
  <c r="AX83" i="4"/>
  <c r="AY83" i="4"/>
  <c r="AZ83" i="4"/>
  <c r="BA83" i="4"/>
  <c r="BB83" i="4"/>
  <c r="BC83" i="4"/>
  <c r="BD83" i="4"/>
  <c r="BE83" i="4"/>
  <c r="BF83" i="4"/>
  <c r="BG83" i="4"/>
  <c r="BH83" i="4"/>
  <c r="BI83" i="4"/>
  <c r="BJ83" i="4"/>
  <c r="BK83" i="4"/>
  <c r="BL83" i="4"/>
  <c r="BM83" i="4"/>
  <c r="BN83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AK84" i="4"/>
  <c r="AL84" i="4"/>
  <c r="AM84" i="4"/>
  <c r="AN84" i="4"/>
  <c r="AO84" i="4"/>
  <c r="AP84" i="4"/>
  <c r="AQ84" i="4"/>
  <c r="AR84" i="4"/>
  <c r="AS84" i="4"/>
  <c r="AT84" i="4"/>
  <c r="AU84" i="4"/>
  <c r="AV84" i="4"/>
  <c r="AW84" i="4"/>
  <c r="AX84" i="4"/>
  <c r="AY84" i="4"/>
  <c r="AZ84" i="4"/>
  <c r="BA84" i="4"/>
  <c r="BB84" i="4"/>
  <c r="BC84" i="4"/>
  <c r="BD84" i="4"/>
  <c r="BE84" i="4"/>
  <c r="BF84" i="4"/>
  <c r="BG84" i="4"/>
  <c r="BH84" i="4"/>
  <c r="BI84" i="4"/>
  <c r="BJ84" i="4"/>
  <c r="BK84" i="4"/>
  <c r="BL84" i="4"/>
  <c r="BM84" i="4"/>
  <c r="BN84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AK86" i="4"/>
  <c r="AL86" i="4"/>
  <c r="AM86" i="4"/>
  <c r="AN86" i="4"/>
  <c r="AO86" i="4"/>
  <c r="AP86" i="4"/>
  <c r="AQ86" i="4"/>
  <c r="AR86" i="4"/>
  <c r="AS86" i="4"/>
  <c r="AT86" i="4"/>
  <c r="AU86" i="4"/>
  <c r="AV86" i="4"/>
  <c r="AW86" i="4"/>
  <c r="AX86" i="4"/>
  <c r="AY86" i="4"/>
  <c r="AZ86" i="4"/>
  <c r="BA86" i="4"/>
  <c r="BB86" i="4"/>
  <c r="BC86" i="4"/>
  <c r="BD86" i="4"/>
  <c r="BE86" i="4"/>
  <c r="BF86" i="4"/>
  <c r="BG86" i="4"/>
  <c r="BH86" i="4"/>
  <c r="BI86" i="4"/>
  <c r="BJ86" i="4"/>
  <c r="BK86" i="4"/>
  <c r="BL86" i="4"/>
  <c r="BM86" i="4"/>
  <c r="BN86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AK87" i="4"/>
  <c r="AL87" i="4"/>
  <c r="AM87" i="4"/>
  <c r="AN87" i="4"/>
  <c r="AO87" i="4"/>
  <c r="AP87" i="4"/>
  <c r="AQ87" i="4"/>
  <c r="AR87" i="4"/>
  <c r="AS87" i="4"/>
  <c r="AT87" i="4"/>
  <c r="AU87" i="4"/>
  <c r="AV87" i="4"/>
  <c r="AW87" i="4"/>
  <c r="AX87" i="4"/>
  <c r="AY87" i="4"/>
  <c r="AZ87" i="4"/>
  <c r="BA87" i="4"/>
  <c r="BB87" i="4"/>
  <c r="BC87" i="4"/>
  <c r="BD87" i="4"/>
  <c r="BE87" i="4"/>
  <c r="BF87" i="4"/>
  <c r="BG87" i="4"/>
  <c r="BH87" i="4"/>
  <c r="BI87" i="4"/>
  <c r="BJ87" i="4"/>
  <c r="BK87" i="4"/>
  <c r="BL87" i="4"/>
  <c r="BM87" i="4"/>
  <c r="BN87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AK88" i="4"/>
  <c r="AL88" i="4"/>
  <c r="AM88" i="4"/>
  <c r="AN88" i="4"/>
  <c r="AO88" i="4"/>
  <c r="AP88" i="4"/>
  <c r="AQ88" i="4"/>
  <c r="AR88" i="4"/>
  <c r="AS88" i="4"/>
  <c r="AT88" i="4"/>
  <c r="AU88" i="4"/>
  <c r="AV88" i="4"/>
  <c r="AW88" i="4"/>
  <c r="AX88" i="4"/>
  <c r="AY88" i="4"/>
  <c r="AZ88" i="4"/>
  <c r="BA88" i="4"/>
  <c r="BB88" i="4"/>
  <c r="BC88" i="4"/>
  <c r="BD88" i="4"/>
  <c r="BE88" i="4"/>
  <c r="BF88" i="4"/>
  <c r="BG88" i="4"/>
  <c r="BH88" i="4"/>
  <c r="BI88" i="4"/>
  <c r="BJ88" i="4"/>
  <c r="BK88" i="4"/>
  <c r="BL88" i="4"/>
  <c r="BM88" i="4"/>
  <c r="BN88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N89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AK90" i="4"/>
  <c r="AL90" i="4"/>
  <c r="AM90" i="4"/>
  <c r="AN90" i="4"/>
  <c r="AO90" i="4"/>
  <c r="AP90" i="4"/>
  <c r="AQ90" i="4"/>
  <c r="AR90" i="4"/>
  <c r="AS90" i="4"/>
  <c r="AT90" i="4"/>
  <c r="AU90" i="4"/>
  <c r="AV90" i="4"/>
  <c r="AW90" i="4"/>
  <c r="AX90" i="4"/>
  <c r="AY90" i="4"/>
  <c r="AZ90" i="4"/>
  <c r="BA90" i="4"/>
  <c r="BB90" i="4"/>
  <c r="BC90" i="4"/>
  <c r="BD90" i="4"/>
  <c r="BE90" i="4"/>
  <c r="BF90" i="4"/>
  <c r="BG90" i="4"/>
  <c r="BH90" i="4"/>
  <c r="BI90" i="4"/>
  <c r="BJ90" i="4"/>
  <c r="BK90" i="4"/>
  <c r="BL90" i="4"/>
  <c r="BM90" i="4"/>
  <c r="BN90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AK91" i="4"/>
  <c r="AL91" i="4"/>
  <c r="AM91" i="4"/>
  <c r="AN91" i="4"/>
  <c r="AO91" i="4"/>
  <c r="AP91" i="4"/>
  <c r="AQ91" i="4"/>
  <c r="AR91" i="4"/>
  <c r="AS91" i="4"/>
  <c r="AT91" i="4"/>
  <c r="AU91" i="4"/>
  <c r="AV91" i="4"/>
  <c r="AW91" i="4"/>
  <c r="AX91" i="4"/>
  <c r="AY91" i="4"/>
  <c r="AZ91" i="4"/>
  <c r="BA91" i="4"/>
  <c r="BB91" i="4"/>
  <c r="BC91" i="4"/>
  <c r="BD91" i="4"/>
  <c r="BE91" i="4"/>
  <c r="BF91" i="4"/>
  <c r="BG91" i="4"/>
  <c r="BH91" i="4"/>
  <c r="BI91" i="4"/>
  <c r="BJ91" i="4"/>
  <c r="BK91" i="4"/>
  <c r="BL91" i="4"/>
  <c r="BM91" i="4"/>
  <c r="BN91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AK92" i="4"/>
  <c r="AL92" i="4"/>
  <c r="AM92" i="4"/>
  <c r="AN92" i="4"/>
  <c r="AO92" i="4"/>
  <c r="AP92" i="4"/>
  <c r="AQ92" i="4"/>
  <c r="AR92" i="4"/>
  <c r="AS92" i="4"/>
  <c r="AT92" i="4"/>
  <c r="AU92" i="4"/>
  <c r="AV92" i="4"/>
  <c r="AW92" i="4"/>
  <c r="AX92" i="4"/>
  <c r="AY92" i="4"/>
  <c r="AZ92" i="4"/>
  <c r="BA92" i="4"/>
  <c r="BB92" i="4"/>
  <c r="BC92" i="4"/>
  <c r="BD92" i="4"/>
  <c r="BE92" i="4"/>
  <c r="BF92" i="4"/>
  <c r="BG92" i="4"/>
  <c r="BH92" i="4"/>
  <c r="BI92" i="4"/>
  <c r="BJ92" i="4"/>
  <c r="BK92" i="4"/>
  <c r="BL92" i="4"/>
  <c r="BM92" i="4"/>
  <c r="BN92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AK94" i="4"/>
  <c r="AL94" i="4"/>
  <c r="AM94" i="4"/>
  <c r="AN94" i="4"/>
  <c r="AO94" i="4"/>
  <c r="AP94" i="4"/>
  <c r="AQ94" i="4"/>
  <c r="AR94" i="4"/>
  <c r="AS94" i="4"/>
  <c r="AT94" i="4"/>
  <c r="AU94" i="4"/>
  <c r="AV94" i="4"/>
  <c r="AW94" i="4"/>
  <c r="AX94" i="4"/>
  <c r="AY94" i="4"/>
  <c r="AZ94" i="4"/>
  <c r="BA94" i="4"/>
  <c r="BB94" i="4"/>
  <c r="BC94" i="4"/>
  <c r="BD94" i="4"/>
  <c r="BE94" i="4"/>
  <c r="BF94" i="4"/>
  <c r="BG94" i="4"/>
  <c r="BH94" i="4"/>
  <c r="BI94" i="4"/>
  <c r="BJ94" i="4"/>
  <c r="BK94" i="4"/>
  <c r="BL94" i="4"/>
  <c r="BM94" i="4"/>
  <c r="BN94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AK95" i="4"/>
  <c r="AL95" i="4"/>
  <c r="AM95" i="4"/>
  <c r="AN95" i="4"/>
  <c r="AO95" i="4"/>
  <c r="AP95" i="4"/>
  <c r="AQ95" i="4"/>
  <c r="AR95" i="4"/>
  <c r="AS95" i="4"/>
  <c r="AT95" i="4"/>
  <c r="AU95" i="4"/>
  <c r="AV95" i="4"/>
  <c r="AW95" i="4"/>
  <c r="AX95" i="4"/>
  <c r="AY95" i="4"/>
  <c r="AZ95" i="4"/>
  <c r="BA95" i="4"/>
  <c r="BB95" i="4"/>
  <c r="BC95" i="4"/>
  <c r="BD95" i="4"/>
  <c r="BE95" i="4"/>
  <c r="BF95" i="4"/>
  <c r="BG95" i="4"/>
  <c r="BH95" i="4"/>
  <c r="BI95" i="4"/>
  <c r="BJ95" i="4"/>
  <c r="BK95" i="4"/>
  <c r="BL95" i="4"/>
  <c r="BM95" i="4"/>
  <c r="BN95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AK97" i="4"/>
  <c r="AL97" i="4"/>
  <c r="AM97" i="4"/>
  <c r="AN97" i="4"/>
  <c r="AO97" i="4"/>
  <c r="AP97" i="4"/>
  <c r="AQ97" i="4"/>
  <c r="AR97" i="4"/>
  <c r="AS97" i="4"/>
  <c r="AT97" i="4"/>
  <c r="AU97" i="4"/>
  <c r="AV97" i="4"/>
  <c r="AW97" i="4"/>
  <c r="AX97" i="4"/>
  <c r="AY97" i="4"/>
  <c r="AZ97" i="4"/>
  <c r="BA97" i="4"/>
  <c r="BB97" i="4"/>
  <c r="BC97" i="4"/>
  <c r="BD97" i="4"/>
  <c r="BE97" i="4"/>
  <c r="BF97" i="4"/>
  <c r="BG97" i="4"/>
  <c r="BH97" i="4"/>
  <c r="BI97" i="4"/>
  <c r="BJ97" i="4"/>
  <c r="BK97" i="4"/>
  <c r="BL97" i="4"/>
  <c r="BM97" i="4"/>
  <c r="BN97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AJ99" i="4"/>
  <c r="AK99" i="4"/>
  <c r="AL99" i="4"/>
  <c r="AM99" i="4"/>
  <c r="AN99" i="4"/>
  <c r="AO99" i="4"/>
  <c r="AP99" i="4"/>
  <c r="AQ99" i="4"/>
  <c r="AR99" i="4"/>
  <c r="AS99" i="4"/>
  <c r="AT99" i="4"/>
  <c r="AU99" i="4"/>
  <c r="AV99" i="4"/>
  <c r="AW99" i="4"/>
  <c r="AX99" i="4"/>
  <c r="AY99" i="4"/>
  <c r="AZ99" i="4"/>
  <c r="BA99" i="4"/>
  <c r="BB99" i="4"/>
  <c r="BC99" i="4"/>
  <c r="BD99" i="4"/>
  <c r="BE99" i="4"/>
  <c r="BF99" i="4"/>
  <c r="BG99" i="4"/>
  <c r="BH99" i="4"/>
  <c r="BI99" i="4"/>
  <c r="BJ99" i="4"/>
  <c r="BK99" i="4"/>
  <c r="BL99" i="4"/>
  <c r="BM99" i="4"/>
  <c r="BN99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AE101" i="4"/>
  <c r="AF101" i="4"/>
  <c r="AG101" i="4"/>
  <c r="AH101" i="4"/>
  <c r="AI101" i="4"/>
  <c r="AJ101" i="4"/>
  <c r="AK101" i="4"/>
  <c r="AL101" i="4"/>
  <c r="AM101" i="4"/>
  <c r="AN101" i="4"/>
  <c r="AO101" i="4"/>
  <c r="AP101" i="4"/>
  <c r="AQ101" i="4"/>
  <c r="AR101" i="4"/>
  <c r="AS101" i="4"/>
  <c r="AT101" i="4"/>
  <c r="AU101" i="4"/>
  <c r="AV101" i="4"/>
  <c r="AW101" i="4"/>
  <c r="AX101" i="4"/>
  <c r="AY101" i="4"/>
  <c r="AZ101" i="4"/>
  <c r="BA101" i="4"/>
  <c r="BB101" i="4"/>
  <c r="BC101" i="4"/>
  <c r="BD101" i="4"/>
  <c r="BE101" i="4"/>
  <c r="BF101" i="4"/>
  <c r="BG101" i="4"/>
  <c r="BH101" i="4"/>
  <c r="BI101" i="4"/>
  <c r="BJ101" i="4"/>
  <c r="BK101" i="4"/>
  <c r="BL101" i="4"/>
  <c r="BM101" i="4"/>
  <c r="BN101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AK103" i="4"/>
  <c r="AL103" i="4"/>
  <c r="AM103" i="4"/>
  <c r="AN103" i="4"/>
  <c r="AO103" i="4"/>
  <c r="AP103" i="4"/>
  <c r="AQ103" i="4"/>
  <c r="AR103" i="4"/>
  <c r="AS103" i="4"/>
  <c r="AT103" i="4"/>
  <c r="AU103" i="4"/>
  <c r="AV103" i="4"/>
  <c r="AW103" i="4"/>
  <c r="AX103" i="4"/>
  <c r="AY103" i="4"/>
  <c r="AZ103" i="4"/>
  <c r="BA103" i="4"/>
  <c r="BB103" i="4"/>
  <c r="BC103" i="4"/>
  <c r="BD103" i="4"/>
  <c r="BE103" i="4"/>
  <c r="BF103" i="4"/>
  <c r="BG103" i="4"/>
  <c r="BH103" i="4"/>
  <c r="BI103" i="4"/>
  <c r="BJ103" i="4"/>
  <c r="BK103" i="4"/>
  <c r="BL103" i="4"/>
  <c r="BM103" i="4"/>
  <c r="BN103" i="4"/>
  <c r="C80" i="4"/>
  <c r="D80" i="4"/>
  <c r="C81" i="4"/>
  <c r="D81" i="4"/>
  <c r="C82" i="4"/>
  <c r="D82" i="4"/>
  <c r="C83" i="4"/>
  <c r="D83" i="4"/>
  <c r="C84" i="4"/>
  <c r="D84" i="4"/>
  <c r="C85" i="4"/>
  <c r="D85" i="4"/>
  <c r="C86" i="4"/>
  <c r="D86" i="4"/>
  <c r="C87" i="4"/>
  <c r="D87" i="4"/>
  <c r="C88" i="4"/>
  <c r="D88" i="4"/>
  <c r="C89" i="4"/>
  <c r="D89" i="4"/>
  <c r="C90" i="4"/>
  <c r="D90" i="4"/>
  <c r="C91" i="4"/>
  <c r="D91" i="4"/>
  <c r="C92" i="4"/>
  <c r="D92" i="4"/>
  <c r="C93" i="4"/>
  <c r="D93" i="4"/>
  <c r="C94" i="4"/>
  <c r="D94" i="4"/>
  <c r="C95" i="4"/>
  <c r="D95" i="4"/>
  <c r="C96" i="4"/>
  <c r="D96" i="4"/>
  <c r="C97" i="4"/>
  <c r="D97" i="4"/>
  <c r="C98" i="4"/>
  <c r="D98" i="4"/>
  <c r="C99" i="4"/>
  <c r="D99" i="4"/>
  <c r="C100" i="4"/>
  <c r="D100" i="4"/>
  <c r="C101" i="4"/>
  <c r="D101" i="4"/>
  <c r="C102" i="4"/>
  <c r="D102" i="4"/>
  <c r="C103" i="4"/>
  <c r="D103" i="4"/>
  <c r="E81" i="4"/>
  <c r="F81" i="4"/>
  <c r="E82" i="4"/>
  <c r="F82" i="4"/>
  <c r="E83" i="4"/>
  <c r="F83" i="4"/>
  <c r="E84" i="4"/>
  <c r="F84" i="4"/>
  <c r="E85" i="4"/>
  <c r="F85" i="4"/>
  <c r="E86" i="4"/>
  <c r="F86" i="4"/>
  <c r="E87" i="4"/>
  <c r="F87" i="4"/>
  <c r="E88" i="4"/>
  <c r="F88" i="4"/>
  <c r="E89" i="4"/>
  <c r="F89" i="4"/>
  <c r="E90" i="4"/>
  <c r="F90" i="4"/>
  <c r="E91" i="4"/>
  <c r="F91" i="4"/>
  <c r="E92" i="4"/>
  <c r="F92" i="4"/>
  <c r="E93" i="4"/>
  <c r="F93" i="4"/>
  <c r="E94" i="4"/>
  <c r="F94" i="4"/>
  <c r="E95" i="4"/>
  <c r="F95" i="4"/>
  <c r="E96" i="4"/>
  <c r="F96" i="4"/>
  <c r="E97" i="4"/>
  <c r="F97" i="4"/>
  <c r="E98" i="4"/>
  <c r="F98" i="4"/>
  <c r="E99" i="4"/>
  <c r="F99" i="4"/>
  <c r="E100" i="4"/>
  <c r="F100" i="4"/>
  <c r="E101" i="4"/>
  <c r="F101" i="4"/>
  <c r="E102" i="4"/>
  <c r="F102" i="4"/>
  <c r="E103" i="4"/>
  <c r="F103" i="4"/>
  <c r="F80" i="4"/>
  <c r="E80" i="4"/>
  <c r="J8" i="4"/>
  <c r="L6" i="4"/>
  <c r="L5" i="4"/>
  <c r="B2" i="4"/>
  <c r="D46" i="4" l="1"/>
  <c r="C46" i="4"/>
  <c r="B19" i="5"/>
  <c r="A19" i="5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AK78" i="4"/>
  <c r="AL78" i="4"/>
  <c r="AM78" i="4"/>
  <c r="AN78" i="4"/>
  <c r="AO78" i="4"/>
  <c r="AP78" i="4"/>
  <c r="AQ78" i="4"/>
  <c r="AR78" i="4"/>
  <c r="AS78" i="4"/>
  <c r="AT78" i="4"/>
  <c r="AU78" i="4"/>
  <c r="AV78" i="4"/>
  <c r="AW78" i="4"/>
  <c r="AX78" i="4"/>
  <c r="AY78" i="4"/>
  <c r="AZ78" i="4"/>
  <c r="BA78" i="4"/>
  <c r="BB78" i="4"/>
  <c r="BC78" i="4"/>
  <c r="BD78" i="4"/>
  <c r="BE78" i="4"/>
  <c r="BF78" i="4"/>
  <c r="BG78" i="4"/>
  <c r="BH78" i="4"/>
  <c r="BI78" i="4"/>
  <c r="BJ78" i="4"/>
  <c r="BK78" i="4"/>
  <c r="BL78" i="4"/>
  <c r="BM78" i="4"/>
  <c r="BN78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N46" i="4"/>
  <c r="D78" i="4" l="1"/>
  <c r="C78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80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BQ70" i="4"/>
  <c r="BP70" i="4"/>
  <c r="BO70" i="4"/>
  <c r="BQ69" i="4"/>
  <c r="BP69" i="4"/>
  <c r="BO69" i="4"/>
  <c r="BQ68" i="4"/>
  <c r="W6" i="4" s="1"/>
  <c r="BP68" i="4"/>
  <c r="V6" i="4" s="1"/>
  <c r="BO68" i="4"/>
  <c r="U6" i="4" s="1"/>
  <c r="BQ67" i="4"/>
  <c r="BP67" i="4"/>
  <c r="BO67" i="4"/>
  <c r="BQ66" i="4"/>
  <c r="BP66" i="4"/>
  <c r="BO66" i="4"/>
  <c r="BQ65" i="4"/>
  <c r="BP65" i="4"/>
  <c r="BO65" i="4"/>
  <c r="BQ64" i="4"/>
  <c r="BP64" i="4"/>
  <c r="BO64" i="4"/>
  <c r="BQ63" i="4"/>
  <c r="BP63" i="4"/>
  <c r="BO63" i="4"/>
  <c r="BQ62" i="4"/>
  <c r="BP62" i="4"/>
  <c r="BO62" i="4"/>
  <c r="BQ61" i="4"/>
  <c r="BP61" i="4"/>
  <c r="BO61" i="4"/>
  <c r="BQ60" i="4"/>
  <c r="BP60" i="4"/>
  <c r="BO60" i="4"/>
  <c r="BQ59" i="4"/>
  <c r="BP59" i="4"/>
  <c r="BO59" i="4"/>
  <c r="BQ58" i="4"/>
  <c r="BP58" i="4"/>
  <c r="BO58" i="4"/>
  <c r="BQ57" i="4"/>
  <c r="BP57" i="4"/>
  <c r="BO57" i="4"/>
  <c r="BQ56" i="4"/>
  <c r="BP56" i="4"/>
  <c r="BO56" i="4"/>
  <c r="BQ55" i="4"/>
  <c r="BP55" i="4"/>
  <c r="BO55" i="4"/>
  <c r="BQ54" i="4"/>
  <c r="BP54" i="4"/>
  <c r="BO54" i="4"/>
  <c r="BQ53" i="4"/>
  <c r="BP53" i="4"/>
  <c r="BO53" i="4"/>
  <c r="BQ52" i="4"/>
  <c r="BP52" i="4"/>
  <c r="BO52" i="4"/>
  <c r="BQ51" i="4"/>
  <c r="BP51" i="4"/>
  <c r="BO51" i="4"/>
  <c r="BQ50" i="4"/>
  <c r="BP50" i="4"/>
  <c r="BO50" i="4"/>
  <c r="BQ49" i="4"/>
  <c r="BP49" i="4"/>
  <c r="BO49" i="4"/>
  <c r="BQ48" i="4"/>
  <c r="BP48" i="4"/>
  <c r="BO48" i="4"/>
  <c r="B4" i="5"/>
  <c r="C4" i="5"/>
  <c r="D4" i="5"/>
  <c r="E4" i="5"/>
  <c r="B7" i="5"/>
  <c r="C7" i="5"/>
  <c r="D7" i="5"/>
  <c r="E7" i="5"/>
  <c r="B10" i="5"/>
  <c r="C10" i="5"/>
  <c r="D10" i="5"/>
  <c r="E10" i="5"/>
  <c r="B13" i="5"/>
  <c r="C13" i="5"/>
  <c r="D13" i="5"/>
  <c r="E13" i="5"/>
  <c r="B16" i="5"/>
  <c r="C16" i="5"/>
  <c r="D16" i="5"/>
  <c r="E16" i="5"/>
  <c r="A16" i="5"/>
  <c r="A13" i="5"/>
  <c r="A10" i="5"/>
  <c r="A7" i="5"/>
  <c r="BO91" i="4"/>
  <c r="BO17" i="4"/>
  <c r="BP17" i="4"/>
  <c r="BQ17" i="4"/>
  <c r="BO18" i="4"/>
  <c r="BP18" i="4"/>
  <c r="BQ18" i="4"/>
  <c r="BO19" i="4"/>
  <c r="BP19" i="4"/>
  <c r="BQ19" i="4"/>
  <c r="BO20" i="4"/>
  <c r="BP20" i="4"/>
  <c r="BQ20" i="4"/>
  <c r="BO21" i="4"/>
  <c r="BP21" i="4"/>
  <c r="BQ21" i="4"/>
  <c r="BO22" i="4"/>
  <c r="BP22" i="4"/>
  <c r="BQ22" i="4"/>
  <c r="BO25" i="4"/>
  <c r="BP25" i="4"/>
  <c r="BQ25" i="4"/>
  <c r="BO26" i="4"/>
  <c r="BP26" i="4"/>
  <c r="BQ26" i="4"/>
  <c r="BO27" i="4"/>
  <c r="BP27" i="4"/>
  <c r="BQ27" i="4"/>
  <c r="BO28" i="4"/>
  <c r="BP28" i="4"/>
  <c r="BQ28" i="4"/>
  <c r="BO29" i="4"/>
  <c r="BP29" i="4"/>
  <c r="BQ29" i="4"/>
  <c r="BO30" i="4"/>
  <c r="BP30" i="4"/>
  <c r="BQ30" i="4"/>
  <c r="BO31" i="4"/>
  <c r="BP31" i="4"/>
  <c r="BQ31" i="4"/>
  <c r="BO32" i="4"/>
  <c r="BP32" i="4"/>
  <c r="BQ32" i="4"/>
  <c r="BO33" i="4"/>
  <c r="BP33" i="4"/>
  <c r="BQ33" i="4"/>
  <c r="BO34" i="4"/>
  <c r="BP34" i="4"/>
  <c r="BQ34" i="4"/>
  <c r="BO35" i="4"/>
  <c r="BP35" i="4"/>
  <c r="BQ35" i="4"/>
  <c r="BO36" i="4"/>
  <c r="U5" i="4" s="1"/>
  <c r="BP36" i="4"/>
  <c r="V5" i="4" s="1"/>
  <c r="BQ36" i="4"/>
  <c r="W5" i="4" s="1"/>
  <c r="BO37" i="4"/>
  <c r="BP37" i="4"/>
  <c r="BQ37" i="4"/>
  <c r="BO39" i="4"/>
  <c r="BP39" i="4"/>
  <c r="BQ39" i="4"/>
  <c r="BQ16" i="4"/>
  <c r="BP16" i="4"/>
  <c r="BO16" i="4"/>
  <c r="B89" i="4"/>
  <c r="B94" i="4" s="1"/>
  <c r="B99" i="4" s="1"/>
  <c r="B88" i="4"/>
  <c r="B93" i="4" s="1"/>
  <c r="B98" i="4" s="1"/>
  <c r="B103" i="4" s="1"/>
  <c r="B87" i="4"/>
  <c r="B92" i="4" s="1"/>
  <c r="B97" i="4" s="1"/>
  <c r="B102" i="4" s="1"/>
  <c r="B86" i="4"/>
  <c r="B91" i="4" s="1"/>
  <c r="B96" i="4" s="1"/>
  <c r="B101" i="4" s="1"/>
  <c r="B85" i="4"/>
  <c r="B90" i="4" s="1"/>
  <c r="B95" i="4" s="1"/>
  <c r="B100" i="4" s="1"/>
  <c r="B57" i="4"/>
  <c r="B62" i="4" s="1"/>
  <c r="B67" i="4" s="1"/>
  <c r="B56" i="4"/>
  <c r="B61" i="4" s="1"/>
  <c r="B66" i="4" s="1"/>
  <c r="B71" i="4" s="1"/>
  <c r="B55" i="4"/>
  <c r="B60" i="4" s="1"/>
  <c r="B65" i="4" s="1"/>
  <c r="B70" i="4" s="1"/>
  <c r="B54" i="4"/>
  <c r="B59" i="4" s="1"/>
  <c r="B64" i="4" s="1"/>
  <c r="B69" i="4" s="1"/>
  <c r="B53" i="4"/>
  <c r="B58" i="4" s="1"/>
  <c r="B63" i="4" s="1"/>
  <c r="B68" i="4" s="1"/>
  <c r="B25" i="4"/>
  <c r="B30" i="4" s="1"/>
  <c r="B35" i="4" s="1"/>
  <c r="B24" i="4"/>
  <c r="B29" i="4" s="1"/>
  <c r="B34" i="4" s="1"/>
  <c r="B39" i="4" s="1"/>
  <c r="B23" i="4"/>
  <c r="B28" i="4" s="1"/>
  <c r="B33" i="4" s="1"/>
  <c r="B38" i="4" s="1"/>
  <c r="B22" i="4"/>
  <c r="B27" i="4" s="1"/>
  <c r="B32" i="4" s="1"/>
  <c r="B37" i="4" s="1"/>
  <c r="B21" i="4"/>
  <c r="B26" i="4" s="1"/>
  <c r="B31" i="4" s="1"/>
  <c r="B36" i="4" s="1"/>
  <c r="BP91" i="4"/>
  <c r="BP101" i="4" l="1"/>
  <c r="BO98" i="4"/>
  <c r="BQ101" i="4"/>
  <c r="BP99" i="4"/>
  <c r="BP97" i="4"/>
  <c r="BQ90" i="4"/>
  <c r="BO89" i="4"/>
  <c r="BQ93" i="4"/>
  <c r="BO85" i="4"/>
  <c r="BP84" i="4"/>
  <c r="BO82" i="4"/>
  <c r="BQ84" i="4"/>
  <c r="BQ83" i="4"/>
  <c r="BO90" i="4"/>
  <c r="BP96" i="4"/>
  <c r="BQ95" i="4"/>
  <c r="BP81" i="4"/>
  <c r="BO99" i="4"/>
  <c r="BQ86" i="4"/>
  <c r="BQ99" i="4"/>
  <c r="BP98" i="4"/>
  <c r="BO97" i="4"/>
  <c r="BO96" i="4"/>
  <c r="BO93" i="4"/>
  <c r="BQ91" i="4"/>
  <c r="BQ89" i="4"/>
  <c r="BQ85" i="4"/>
  <c r="BO84" i="4"/>
  <c r="BP83" i="4"/>
  <c r="BQ82" i="4"/>
  <c r="BQ80" i="4"/>
  <c r="BP80" i="4"/>
  <c r="BP92" i="4"/>
  <c r="BQ98" i="4"/>
  <c r="BQ97" i="4"/>
  <c r="BQ96" i="4"/>
  <c r="BO95" i="4"/>
  <c r="BO94" i="4"/>
  <c r="BP93" i="4"/>
  <c r="BP90" i="4"/>
  <c r="BO86" i="4"/>
  <c r="BP85" i="4"/>
  <c r="BP82" i="4"/>
  <c r="BQ81" i="4"/>
  <c r="BO80" i="4"/>
  <c r="BO100" i="4"/>
  <c r="BP100" i="4"/>
  <c r="BO101" i="4"/>
  <c r="BP94" i="4"/>
  <c r="BO92" i="4"/>
  <c r="BO83" i="4"/>
  <c r="BP86" i="4"/>
  <c r="BQ92" i="4"/>
  <c r="BQ94" i="4"/>
  <c r="BQ100" i="4"/>
  <c r="BP95" i="4"/>
  <c r="BO81" i="4"/>
  <c r="BP89" i="4"/>
  <c r="BQ24" i="4" l="1"/>
  <c r="BP24" i="4"/>
  <c r="BO24" i="4"/>
  <c r="BP88" i="4"/>
  <c r="BQ88" i="4"/>
  <c r="BO88" i="4"/>
  <c r="BO23" i="4"/>
  <c r="BQ87" i="4"/>
  <c r="BP23" i="4"/>
  <c r="BQ23" i="4"/>
  <c r="BP87" i="4"/>
  <c r="BO87" i="4"/>
  <c r="BO38" i="4"/>
  <c r="BQ38" i="4"/>
  <c r="BP38" i="4"/>
  <c r="BQ102" i="4"/>
  <c r="BP102" i="4"/>
  <c r="BO102" i="4"/>
  <c r="BP71" i="4"/>
  <c r="BP103" i="4"/>
  <c r="BQ71" i="4"/>
  <c r="BO71" i="4"/>
  <c r="BO103" i="4" l="1"/>
  <c r="BQ10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<sst xmlns="http://schemas.openxmlformats.org/spreadsheetml/2006/main" count="204" uniqueCount="128">
  <si>
    <t>Part.No.:</t>
  </si>
  <si>
    <t>GPIB-Port:</t>
  </si>
  <si>
    <t>Variation of Breakdown Voltage</t>
  </si>
  <si>
    <t>Imax:</t>
  </si>
  <si>
    <t>A</t>
  </si>
  <si>
    <t>Terminal:</t>
  </si>
  <si>
    <t>FRONT</t>
  </si>
  <si>
    <t>Vvar max</t>
  </si>
  <si>
    <t>Vbv,min</t>
  </si>
  <si>
    <t>Vbv,avg</t>
  </si>
  <si>
    <t>Vbv,max</t>
  </si>
  <si>
    <t>Varistor Voltage:</t>
  </si>
  <si>
    <t>V</t>
  </si>
  <si>
    <t>Beeper:</t>
  </si>
  <si>
    <t>OFF</t>
  </si>
  <si>
    <t>Vvar min</t>
  </si>
  <si>
    <t>Before Test</t>
  </si>
  <si>
    <t>Tolerance:</t>
  </si>
  <si>
    <t>%</t>
  </si>
  <si>
    <t>4-Wire:</t>
  </si>
  <si>
    <t>ON</t>
  </si>
  <si>
    <t>After Test</t>
  </si>
  <si>
    <t>Varistor-Current:</t>
  </si>
  <si>
    <t>mA</t>
  </si>
  <si>
    <t>Number of Parts</t>
  </si>
  <si>
    <t>Vdc :</t>
  </si>
  <si>
    <t>Repeat:</t>
  </si>
  <si>
    <t>Test Equipment:</t>
  </si>
  <si>
    <t>Keithley 2410</t>
  </si>
  <si>
    <t>Volt. Limit:</t>
  </si>
  <si>
    <t>Date:</t>
  </si>
  <si>
    <t>Drawn by:</t>
  </si>
  <si>
    <t>Lotnumber / DC</t>
  </si>
  <si>
    <t>Test Specifications</t>
  </si>
  <si>
    <t>Delay
[ms]</t>
  </si>
  <si>
    <t>Current [mA] Before Test</t>
  </si>
  <si>
    <t>Part 1 Fwd</t>
  </si>
  <si>
    <t>Part 1 Rev</t>
  </si>
  <si>
    <t>Part 2 Fwd</t>
  </si>
  <si>
    <t>Part 2 Rev</t>
  </si>
  <si>
    <t>Part 3 Fwd</t>
  </si>
  <si>
    <t>Part 3 Rev</t>
  </si>
  <si>
    <t>Part 4 Fwd</t>
  </si>
  <si>
    <t>Part 4 Rev</t>
  </si>
  <si>
    <t>Part 5 Fwd</t>
  </si>
  <si>
    <t>Part 5 Rev</t>
  </si>
  <si>
    <t>Part 6 Fwd</t>
  </si>
  <si>
    <t>Part 6 Rev</t>
  </si>
  <si>
    <t>Part 7 Fwd</t>
  </si>
  <si>
    <t>Part 7 Rev</t>
  </si>
  <si>
    <t>Part 8 Fwd</t>
  </si>
  <si>
    <t>Part 8 Rev</t>
  </si>
  <si>
    <t>Part 9 Fwd</t>
  </si>
  <si>
    <t>Part 9 Rev</t>
  </si>
  <si>
    <t>Part 10 Fwd</t>
  </si>
  <si>
    <t>Part 10 Rev</t>
  </si>
  <si>
    <t>Part 11 Fwd</t>
  </si>
  <si>
    <t>Part 11 Rev</t>
  </si>
  <si>
    <t>Part 12 Fwd</t>
  </si>
  <si>
    <t>Part 12 Rev</t>
  </si>
  <si>
    <t>Part 13 Fwd</t>
  </si>
  <si>
    <t>Part 13 Rev</t>
  </si>
  <si>
    <t>Part 14 Fwd</t>
  </si>
  <si>
    <t>Part 14 Rev</t>
  </si>
  <si>
    <t>Part 15 Fwd</t>
  </si>
  <si>
    <t>Part 15 Rev</t>
  </si>
  <si>
    <t>Part 16 Fwd</t>
  </si>
  <si>
    <t>Part 16 Rev</t>
  </si>
  <si>
    <t>Part 17 Fwd</t>
  </si>
  <si>
    <t>Part 17 Rev</t>
  </si>
  <si>
    <t>Part 18 Fwd</t>
  </si>
  <si>
    <t>Part 18 Rev</t>
  </si>
  <si>
    <t>Part 19 Fwd</t>
  </si>
  <si>
    <t>Part 19 Rev</t>
  </si>
  <si>
    <t>Part 20 Fwd</t>
  </si>
  <si>
    <t>Part 20 Rev</t>
  </si>
  <si>
    <t>Part 21 Fwd</t>
  </si>
  <si>
    <t>Part 21 Rev</t>
  </si>
  <si>
    <t>Part 22 Fwd</t>
  </si>
  <si>
    <t>Part 22 Rev</t>
  </si>
  <si>
    <t>Part 23 Fwd</t>
  </si>
  <si>
    <t>Part 23 Rev</t>
  </si>
  <si>
    <t>Part 24 Fwd</t>
  </si>
  <si>
    <t>Part 24 Rev</t>
  </si>
  <si>
    <t>Part 25 Fwd</t>
  </si>
  <si>
    <t>Part 25 Rev</t>
  </si>
  <si>
    <t>Part 26 Fwd</t>
  </si>
  <si>
    <t>Part 26 Rev</t>
  </si>
  <si>
    <t>Part 27 Fwd</t>
  </si>
  <si>
    <t>Part 27 Rev</t>
  </si>
  <si>
    <t>Part 28 Fwd</t>
  </si>
  <si>
    <t>Part 28 Rev</t>
  </si>
  <si>
    <t>Part 29 Fwd</t>
  </si>
  <si>
    <t>Part 29 Rev</t>
  </si>
  <si>
    <t>Part 30 Fwd</t>
  </si>
  <si>
    <t>Part 30 Rev</t>
  </si>
  <si>
    <t>Part 31 Fwd</t>
  </si>
  <si>
    <t>Part 31 Rev</t>
  </si>
  <si>
    <t>Part 32 Fwd</t>
  </si>
  <si>
    <t>Part 32 Rev</t>
  </si>
  <si>
    <t>Min</t>
  </si>
  <si>
    <t>Avg</t>
  </si>
  <si>
    <t>Max</t>
  </si>
  <si>
    <t>Current [mA] After Test</t>
  </si>
  <si>
    <t>Change %</t>
  </si>
  <si>
    <t>Ileak</t>
    <phoneticPr fontId="0" type="noConversion"/>
  </si>
  <si>
    <r>
      <t>V</t>
    </r>
    <r>
      <rPr>
        <sz val="12"/>
        <rFont val="Arial"/>
        <family val="2"/>
      </rPr>
      <t>BR</t>
    </r>
  </si>
  <si>
    <r>
      <t>V</t>
    </r>
    <r>
      <rPr>
        <b/>
        <sz val="10"/>
        <rFont val="Arial"/>
        <family val="2"/>
      </rPr>
      <t>BR</t>
    </r>
  </si>
  <si>
    <t>Ileak</t>
  </si>
  <si>
    <t>Note</t>
    <phoneticPr fontId="0" type="noConversion"/>
  </si>
  <si>
    <t>注意产品的极性，请正确放置！</t>
  </si>
  <si>
    <t>Rev</t>
  </si>
  <si>
    <r>
      <t>R</t>
    </r>
    <r>
      <rPr>
        <sz val="10"/>
        <rFont val="Arial"/>
        <family val="2"/>
      </rPr>
      <t>ev</t>
    </r>
  </si>
  <si>
    <t>Notes:</t>
  </si>
  <si>
    <t>VDC</t>
  </si>
  <si>
    <t>Reverse Stand-Off Voltage</t>
  </si>
  <si>
    <t>VBR</t>
  </si>
  <si>
    <t>Reverse Breakdown Voltage(V @ 1mA (&gt;7Vdc), 10mA(≤ 7Vdc))</t>
  </si>
  <si>
    <t>CJ</t>
  </si>
  <si>
    <t>Junction Capacitance @ 50 mVrms, @ 1MHz</t>
  </si>
  <si>
    <t>IPeak</t>
  </si>
  <si>
    <t>Peak Pulse Current (10/1000µs)</t>
  </si>
  <si>
    <t>VClamp</t>
  </si>
  <si>
    <t>Surge Clamping Voltage @ IPeak</t>
  </si>
  <si>
    <t>ILeak</t>
  </si>
  <si>
    <t>Reverse Leakage Current @ VDC  (For bidirectional type ≤10 VDC the ILeak is double)</t>
  </si>
  <si>
    <t>IT</t>
  </si>
  <si>
    <t>Test 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</si>
</sst>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\ &quot;V&quot;"/>
  </numFmts>
  <fonts count="1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i/>
      <sz val="12"/>
      <name val="Arial"/>
      <family val="2"/>
    </font>
    <font>
      <b/>
      <i/>
      <sz val="11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0"/>
      <color theme="0"/>
      <name val="Arial"/>
      <family val="2"/>
    </font>
    <font>
      <b/>
      <sz val="11"/>
      <name val="Arial"/>
      <family val="2"/>
    </font>
    <font>
      <sz val="1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DengXian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1">
    <xf numFmtId="0" fontId="0" fillId="0" borderId="0" xfId="0"/>
    <xf numFmtId="0" fontId="0" fillId="0" borderId="0" xfId="0" applyAlignment="1">
      <alignment horizontal="right"/>
    </xf>
    <xf numFmtId="0" fontId="3" fillId="0" borderId="0" xfId="0" applyFon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2" fillId="0" borderId="0" xfId="0" applyFont="1"/>
    <xf numFmtId="10" fontId="0" fillId="0" borderId="0" xfId="1" applyNumberFormat="1" applyFont="1"/>
    <xf numFmtId="0" fontId="6" fillId="0" borderId="0" xfId="0" applyFont="1" applyAlignment="1">
      <alignment horizontal="center"/>
    </xf>
    <xf numFmtId="0" fontId="0" fillId="2" borderId="2" xfId="0" applyFill="1" applyBorder="1"/>
    <xf numFmtId="165" fontId="8" fillId="0" borderId="0" xfId="0" applyNumberFormat="1" applyFont="1"/>
    <xf numFmtId="0" fontId="0" fillId="2" borderId="2" xfId="0" applyFill="1" applyBorder="1" applyAlignment="1">
      <alignment horizontal="center"/>
    </xf>
    <xf numFmtId="0" fontId="0" fillId="3" borderId="2" xfId="0" applyFill="1" applyBorder="1"/>
    <xf numFmtId="0" fontId="5" fillId="3" borderId="2" xfId="0" applyFont="1" applyFill="1" applyBorder="1" applyAlignment="1">
      <alignment horizontal="right"/>
    </xf>
    <xf numFmtId="0" fontId="0" fillId="3" borderId="2" xfId="0" applyFill="1" applyBorder="1" applyAlignment="1">
      <alignment horizontal="left"/>
    </xf>
    <xf numFmtId="164" fontId="0" fillId="3" borderId="2" xfId="0" applyNumberFormat="1" applyFill="1" applyBorder="1"/>
    <xf numFmtId="0" fontId="0" fillId="4" borderId="2" xfId="0" applyFill="1" applyBorder="1" applyAlignment="1">
      <alignment horizontal="center"/>
    </xf>
    <xf numFmtId="0" fontId="0" fillId="4" borderId="2" xfId="0" applyFill="1" applyBorder="1"/>
    <xf numFmtId="0" fontId="5" fillId="5" borderId="2" xfId="0" applyFont="1" applyFill="1" applyBorder="1" applyAlignment="1">
      <alignment horizontal="right"/>
    </xf>
    <xf numFmtId="165" fontId="0" fillId="0" borderId="3" xfId="0" applyNumberFormat="1" applyBorder="1"/>
    <xf numFmtId="165" fontId="0" fillId="0" borderId="4" xfId="0" applyNumberFormat="1" applyBorder="1"/>
    <xf numFmtId="165" fontId="0" fillId="0" borderId="1" xfId="0" applyNumberFormat="1" applyBorder="1"/>
    <xf numFmtId="0" fontId="6" fillId="6" borderId="0" xfId="0" applyFont="1" applyFill="1" applyAlignment="1">
      <alignment horizontal="center"/>
    </xf>
    <xf numFmtId="0" fontId="0" fillId="6" borderId="0" xfId="0" applyFill="1"/>
    <xf numFmtId="0" fontId="4" fillId="6" borderId="5" xfId="0" applyFont="1" applyFill="1" applyBorder="1" applyAlignment="1">
      <alignment horizontal="center" vertical="center"/>
    </xf>
    <xf numFmtId="165" fontId="0" fillId="6" borderId="0" xfId="0" applyNumberFormat="1" applyFill="1"/>
    <xf numFmtId="0" fontId="4" fillId="6" borderId="6" xfId="0" applyFont="1" applyFill="1" applyBorder="1" applyAlignment="1">
      <alignment horizontal="center" wrapText="1"/>
    </xf>
    <xf numFmtId="0" fontId="4" fillId="6" borderId="7" xfId="0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6" fillId="7" borderId="0" xfId="0" applyFont="1" applyFill="1" applyAlignment="1">
      <alignment horizontal="center"/>
    </xf>
    <xf numFmtId="0" fontId="0" fillId="7" borderId="0" xfId="0" applyFill="1"/>
    <xf numFmtId="0" fontId="6" fillId="8" borderId="0" xfId="0" applyFont="1" applyFill="1" applyAlignment="1">
      <alignment horizontal="center"/>
    </xf>
    <xf numFmtId="0" fontId="0" fillId="8" borderId="0" xfId="0" applyFill="1"/>
    <xf numFmtId="0" fontId="6" fillId="9" borderId="0" xfId="0" applyFont="1" applyFill="1" applyAlignment="1">
      <alignment horizontal="center"/>
    </xf>
    <xf numFmtId="0" fontId="0" fillId="9" borderId="0" xfId="0" applyFill="1"/>
    <xf numFmtId="0" fontId="6" fillId="10" borderId="0" xfId="0" applyFont="1" applyFill="1" applyAlignment="1">
      <alignment horizontal="center"/>
    </xf>
    <xf numFmtId="0" fontId="0" fillId="10" borderId="0" xfId="0" applyFill="1"/>
    <xf numFmtId="0" fontId="6" fillId="11" borderId="0" xfId="0" applyFont="1" applyFill="1" applyAlignment="1">
      <alignment horizontal="center"/>
    </xf>
    <xf numFmtId="0" fontId="0" fillId="11" borderId="0" xfId="0" applyFill="1"/>
    <xf numFmtId="0" fontId="6" fillId="6" borderId="1" xfId="0" applyFont="1" applyFill="1" applyBorder="1"/>
    <xf numFmtId="165" fontId="6" fillId="6" borderId="0" xfId="0" applyNumberFormat="1" applyFont="1" applyFill="1"/>
    <xf numFmtId="0" fontId="6" fillId="0" borderId="0" xfId="0" applyFont="1"/>
    <xf numFmtId="10" fontId="6" fillId="0" borderId="0" xfId="1" applyNumberFormat="1" applyFont="1"/>
    <xf numFmtId="10" fontId="6" fillId="6" borderId="0" xfId="1" applyNumberFormat="1" applyFont="1" applyFill="1"/>
    <xf numFmtId="0" fontId="6" fillId="6" borderId="8" xfId="0" applyFont="1" applyFill="1" applyBorder="1" applyAlignment="1">
      <alignment horizontal="center" wrapText="1"/>
    </xf>
    <xf numFmtId="0" fontId="0" fillId="6" borderId="4" xfId="0" applyFill="1" applyBorder="1"/>
    <xf numFmtId="0" fontId="6" fillId="6" borderId="4" xfId="0" applyFont="1" applyFill="1" applyBorder="1"/>
    <xf numFmtId="0" fontId="4" fillId="6" borderId="11" xfId="0" applyFont="1" applyFill="1" applyBorder="1" applyAlignment="1">
      <alignment horizontal="center" vertical="center" wrapText="1"/>
    </xf>
    <xf numFmtId="0" fontId="6" fillId="12" borderId="0" xfId="0" applyFont="1" applyFill="1" applyAlignment="1">
      <alignment horizontal="center"/>
    </xf>
    <xf numFmtId="0" fontId="0" fillId="12" borderId="0" xfId="0" applyFill="1"/>
    <xf numFmtId="165" fontId="6" fillId="0" borderId="1" xfId="0" applyNumberFormat="1" applyFont="1" applyBorder="1"/>
    <xf numFmtId="165" fontId="6" fillId="0" borderId="3" xfId="0" applyNumberFormat="1" applyFont="1" applyBorder="1"/>
    <xf numFmtId="165" fontId="6" fillId="0" borderId="4" xfId="0" applyNumberFormat="1" applyFont="1" applyBorder="1"/>
    <xf numFmtId="165" fontId="6" fillId="0" borderId="0" xfId="0" applyNumberFormat="1" applyFont="1"/>
    <xf numFmtId="0" fontId="1" fillId="0" borderId="2" xfId="0" applyFont="1" applyBorder="1" applyAlignment="1">
      <alignment horizontal="center"/>
    </xf>
    <xf numFmtId="10" fontId="6" fillId="0" borderId="2" xfId="1" applyNumberFormat="1" applyFont="1" applyBorder="1" applyAlignment="1">
      <alignment horizontal="center"/>
    </xf>
    <xf numFmtId="0" fontId="0" fillId="0" borderId="2" xfId="0" applyBorder="1"/>
    <xf numFmtId="10" fontId="0" fillId="0" borderId="12" xfId="1" applyNumberFormat="1" applyFont="1" applyBorder="1"/>
    <xf numFmtId="10" fontId="0" fillId="0" borderId="13" xfId="1" applyNumberFormat="1" applyFont="1" applyBorder="1"/>
    <xf numFmtId="10" fontId="6" fillId="0" borderId="13" xfId="1" applyNumberFormat="1" applyFont="1" applyBorder="1"/>
    <xf numFmtId="166" fontId="0" fillId="3" borderId="1" xfId="0" applyNumberFormat="1" applyFill="1" applyBorder="1"/>
    <xf numFmtId="0" fontId="0" fillId="3" borderId="4" xfId="0" applyFill="1" applyBorder="1"/>
    <xf numFmtId="10" fontId="0" fillId="0" borderId="14" xfId="1" applyNumberFormat="1" applyFont="1" applyBorder="1"/>
    <xf numFmtId="10" fontId="0" fillId="0" borderId="15" xfId="1" applyNumberFormat="1" applyFont="1" applyBorder="1"/>
    <xf numFmtId="11" fontId="0" fillId="0" borderId="4" xfId="0" applyNumberFormat="1" applyBorder="1"/>
    <xf numFmtId="11" fontId="0" fillId="0" borderId="0" xfId="0" applyNumberFormat="1"/>
    <xf numFmtId="11" fontId="0" fillId="0" borderId="1" xfId="0" applyNumberFormat="1" applyBorder="1"/>
    <xf numFmtId="10" fontId="0" fillId="0" borderId="3" xfId="1" applyNumberFormat="1" applyFont="1" applyBorder="1"/>
    <xf numFmtId="10" fontId="0" fillId="0" borderId="0" xfId="1" applyNumberFormat="1" applyFont="1" applyBorder="1"/>
    <xf numFmtId="0" fontId="4" fillId="6" borderId="2" xfId="0" applyFont="1" applyFill="1" applyBorder="1" applyAlignment="1">
      <alignment horizontal="center" wrapText="1"/>
    </xf>
    <xf numFmtId="0" fontId="10" fillId="14" borderId="2" xfId="0" applyFont="1" applyFill="1" applyBorder="1"/>
    <xf numFmtId="0" fontId="4" fillId="6" borderId="2" xfId="0" applyFont="1" applyFill="1" applyBorder="1" applyAlignment="1">
      <alignment horizontal="center" vertical="center" wrapText="1"/>
    </xf>
    <xf numFmtId="0" fontId="10" fillId="0" borderId="2" xfId="0" applyFont="1" applyBorder="1"/>
    <xf numFmtId="0" fontId="12" fillId="0" borderId="2" xfId="0" applyFont="1" applyBorder="1"/>
    <xf numFmtId="0" fontId="10" fillId="0" borderId="0" xfId="0" applyFont="1"/>
    <xf numFmtId="0" fontId="13" fillId="0" borderId="0" xfId="0" applyFont="1"/>
    <xf numFmtId="0" fontId="4" fillId="15" borderId="2" xfId="0" applyFont="1" applyFill="1" applyBorder="1" applyAlignment="1">
      <alignment horizontal="center" wrapText="1"/>
    </xf>
    <xf numFmtId="0" fontId="1" fillId="0" borderId="2" xfId="0" applyFont="1" applyBorder="1"/>
    <xf numFmtId="0" fontId="1" fillId="0" borderId="0" xfId="0" applyFont="1"/>
    <xf numFmtId="11" fontId="0" fillId="0" borderId="0" xfId="0" applyNumberFormat="1" applyAlignment="1">
      <alignment wrapText="1"/>
    </xf>
    <xf numFmtId="11" fontId="0" fillId="0" borderId="3" xfId="0" applyNumberFormat="1" applyBorder="1" applyAlignment="1">
      <alignment wrapText="1"/>
    </xf>
    <xf numFmtId="11" fontId="0" fillId="0" borderId="2" xfId="0" applyNumberFormat="1" applyBorder="1"/>
    <xf numFmtId="1" fontId="1" fillId="13" borderId="2" xfId="0" applyNumberFormat="1" applyFont="1" applyFill="1" applyBorder="1" applyAlignment="1">
      <alignment horizontal="center"/>
    </xf>
    <xf numFmtId="0" fontId="9" fillId="13" borderId="2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14" fontId="0" fillId="5" borderId="9" xfId="0" applyNumberFormat="1" applyFill="1" applyBorder="1" applyAlignment="1">
      <alignment horizontal="left"/>
    </xf>
    <xf numFmtId="14" fontId="0" fillId="5" borderId="10" xfId="0" applyNumberFormat="1" applyFill="1" applyBorder="1" applyAlignment="1">
      <alignment horizontal="left"/>
    </xf>
    <xf numFmtId="0" fontId="1" fillId="5" borderId="9" xfId="0" applyFont="1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1" fillId="3" borderId="9" xfId="0" applyFont="1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10" fontId="1" fillId="6" borderId="15" xfId="1" applyNumberFormat="1" applyFont="1" applyFill="1" applyBorder="1"/>
    <xf numFmtId="10" fontId="1" fillId="6" borderId="0" xfId="1" applyNumberFormat="1" applyFont="1" applyFill="1" applyBorder="1"/>
    <xf numFmtId="10" fontId="1" fillId="6" borderId="0" xfId="1" applyNumberFormat="1" applyFont="1" applyFill="1"/>
  </cellXfs>
  <cellStyles count="2">
    <cellStyle name="Prozent" xfId="1" builtinId="5"/>
    <cellStyle name="Standard" xfId="0" builtinId="0"/>
  </cellStyles>
  <dxfs count="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42418648413114"/>
          <c:y val="3.0219846635311624E-2"/>
          <c:w val="0.6766005070954717"/>
          <c:h val="0.81772989691204034"/>
        </c:manualLayout>
      </c:layout>
      <c:scatterChart>
        <c:scatterStyle val="smoothMarker"/>
        <c:varyColors val="0"/>
        <c:ser>
          <c:idx val="6"/>
          <c:order val="0"/>
          <c:tx>
            <c:v>Tolerance</c:v>
          </c:tx>
          <c:spPr>
            <a:ln w="44450" cap="sq">
              <a:solidFill>
                <a:srgbClr val="92D05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1</c:v>
              </c:pt>
            </c:numLit>
          </c:xVal>
          <c:yVal>
            <c:numRef>
              <c:f>(Measurement!$Q$5,Measurement!$Q$4)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54-4535-8CD7-E474F3FA61AF}"/>
            </c:ext>
          </c:extLst>
        </c:ser>
        <c:ser>
          <c:idx val="7"/>
          <c:order val="1"/>
          <c:tx>
            <c:v>DC Voltage</c:v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1E-4</c:v>
              </c:pt>
              <c:pt idx="1">
                <c:v>20</c:v>
              </c:pt>
            </c:numLit>
          </c:xVal>
          <c:yVal>
            <c:numRef>
              <c:f>(Measurement!$C$8,Measurement!$C$8)</c:f>
              <c:numCache>
                <c:formatCode>0.0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54-4535-8CD7-E474F3FA61AF}"/>
            </c:ext>
          </c:extLst>
        </c:ser>
        <c:ser>
          <c:idx val="0"/>
          <c:order val="2"/>
          <c:tx>
            <c:v>Before Min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Measurement!$BO$16:$BO$44</c:f>
              <c:numCache>
                <c:formatCode>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54-4535-8CD7-E474F3FA61AF}"/>
            </c:ext>
          </c:extLst>
        </c:ser>
        <c:ser>
          <c:idx val="4"/>
          <c:order val="3"/>
          <c:tx>
            <c:v>Before Avg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Measurement!$BP$16:$BP$44</c:f>
              <c:numCache>
                <c:formatCode>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54-4535-8CD7-E474F3FA61AF}"/>
            </c:ext>
          </c:extLst>
        </c:ser>
        <c:ser>
          <c:idx val="2"/>
          <c:order val="4"/>
          <c:tx>
            <c:v>Before Max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Measurement!$BQ$16:$BQ$44</c:f>
              <c:numCache>
                <c:formatCode>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754-4535-8CD7-E474F3FA61AF}"/>
            </c:ext>
          </c:extLst>
        </c:ser>
        <c:ser>
          <c:idx val="1"/>
          <c:order val="5"/>
          <c:tx>
            <c:v>After Min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Measurement!$BO$48:$BO$76</c:f>
              <c:numCache>
                <c:formatCode>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754-4535-8CD7-E474F3FA61AF}"/>
            </c:ext>
          </c:extLst>
        </c:ser>
        <c:ser>
          <c:idx val="5"/>
          <c:order val="6"/>
          <c:tx>
            <c:v>After Avg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Measurement!$BP$48:$BP$76</c:f>
              <c:numCache>
                <c:formatCode>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754-4535-8CD7-E474F3FA61AF}"/>
            </c:ext>
          </c:extLst>
        </c:ser>
        <c:ser>
          <c:idx val="3"/>
          <c:order val="7"/>
          <c:tx>
            <c:v>After Max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Measurement!$BQ$48:$BQ$76</c:f>
              <c:numCache>
                <c:formatCode>0.000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754-4535-8CD7-E474F3FA6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12832"/>
        <c:axId val="99119104"/>
      </c:scatterChart>
      <c:valAx>
        <c:axId val="9911283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34432847379226111"/>
              <c:y val="0.917727365863653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9119104"/>
        <c:crosses val="autoZero"/>
        <c:crossBetween val="midCat"/>
        <c:majorUnit val="10"/>
      </c:valAx>
      <c:valAx>
        <c:axId val="99119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7575426834021985E-3"/>
              <c:y val="0.3616298334455405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9112832"/>
        <c:crossesAt val="9.9999999999999995E-7"/>
        <c:crossBetween val="midCat"/>
      </c:valAx>
    </c:plotArea>
    <c:legend>
      <c:legendPos val="r"/>
      <c:layout>
        <c:manualLayout>
          <c:xMode val="edge"/>
          <c:yMode val="edge"/>
          <c:x val="0.80984735323926083"/>
          <c:y val="0.23337491229437904"/>
          <c:w val="0.19015264676073906"/>
          <c:h val="0.53325017541124187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Measurement!$C$16:$C$44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29-4D82-9D5E-3D58554D36A7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Measurement!$D$16:$D$44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29-4D82-9D5E-3D58554D36A7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Measurement!$C$48:$C$76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29-4D82-9D5E-3D58554D36A7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Measurement!$D$48:$D$76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29-4D82-9D5E-3D58554D3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481344"/>
        <c:axId val="105483264"/>
      </c:scatterChart>
      <c:valAx>
        <c:axId val="105481344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5483264"/>
        <c:crosses val="autoZero"/>
        <c:crossBetween val="midCat"/>
        <c:majorUnit val="10"/>
      </c:valAx>
      <c:valAx>
        <c:axId val="105483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5481344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Measurement!$E$16:$E$44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F4-4203-AAE4-B5DB453F0E96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Measurement!$F$16:$F$44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F4-4203-AAE4-B5DB453F0E96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Measurement!$E$48:$E$76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F4-4203-AAE4-B5DB453F0E96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Measurement!$F$48:$F$76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F4-4203-AAE4-B5DB453F0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26688"/>
        <c:axId val="99837056"/>
      </c:scatterChart>
      <c:valAx>
        <c:axId val="9982668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9837056"/>
        <c:crosses val="autoZero"/>
        <c:crossBetween val="midCat"/>
        <c:majorUnit val="10"/>
      </c:valAx>
      <c:valAx>
        <c:axId val="998370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982668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Measurement!$G$16:$G$44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29-4B3D-BCC0-CFB539B6B772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Measurement!$H$16:$H$44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29-4B3D-BCC0-CFB539B6B772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Measurement!$G$48:$G$76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29-4B3D-BCC0-CFB539B6B772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Measurement!$H$48:$H$76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29-4B3D-BCC0-CFB539B6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63168"/>
        <c:axId val="99681024"/>
      </c:scatterChart>
      <c:valAx>
        <c:axId val="9986316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9681024"/>
        <c:crosses val="autoZero"/>
        <c:crossBetween val="midCat"/>
        <c:majorUnit val="10"/>
      </c:valAx>
      <c:valAx>
        <c:axId val="99681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986316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Measurement!$I$16:$I$44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27-4599-A793-8AE3C6518DE3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Measurement!$J$16:$J$44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27-4599-A793-8AE3C6518DE3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Measurement!$I$48:$I$76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27-4599-A793-8AE3C6518DE3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Measurement!$J$48:$J$76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27-4599-A793-8AE3C6518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30560"/>
        <c:axId val="99732480"/>
      </c:scatterChart>
      <c:valAx>
        <c:axId val="99730560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9732480"/>
        <c:crosses val="autoZero"/>
        <c:crossBetween val="midCat"/>
        <c:majorUnit val="10"/>
      </c:valAx>
      <c:valAx>
        <c:axId val="99732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9730560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Measurement!$K$16:$K$44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98-4B31-879C-22D02FC0E9EC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Measurement!$L$16:$L$44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98-4B31-879C-22D02FC0E9EC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Measurement!$K$48:$K$76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98-4B31-879C-22D02FC0E9EC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Measurement!$L$48:$L$76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98-4B31-879C-22D02FC0E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75616"/>
        <c:axId val="99777536"/>
      </c:scatterChart>
      <c:valAx>
        <c:axId val="9977561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9777536"/>
        <c:crosses val="autoZero"/>
        <c:crossBetween val="midCat"/>
        <c:majorUnit val="10"/>
      </c:valAx>
      <c:valAx>
        <c:axId val="99777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977561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Measurement!$M$16:$M$44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D-4063-BAE4-F726D878C382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Measurement!$N$16:$N$44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FD-4063-BAE4-F726D878C382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Measurement!$M$48:$M$76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FD-4063-BAE4-F726D878C382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Measurement!$N$48:$N$76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FD-4063-BAE4-F726D878C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12032"/>
        <c:axId val="112813952"/>
      </c:scatterChart>
      <c:valAx>
        <c:axId val="11281203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2813952"/>
        <c:crosses val="autoZero"/>
        <c:crossBetween val="midCat"/>
        <c:majorUnit val="10"/>
      </c:valAx>
      <c:valAx>
        <c:axId val="112813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281203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Measurement!$W$16:$W$44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10-4FC4-AAAE-1744149CEB5C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Measurement!$X$16:$X$44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10-4FC4-AAAE-1744149CEB5C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Measurement!$W$48:$W$76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10-4FC4-AAAE-1744149CEB5C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Measurement!$X$48:$X$76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10-4FC4-AAAE-1744149C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46336"/>
        <c:axId val="112848256"/>
      </c:scatterChart>
      <c:valAx>
        <c:axId val="11284633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2848256"/>
        <c:crosses val="autoZero"/>
        <c:crossBetween val="midCat"/>
        <c:majorUnit val="10"/>
      </c:valAx>
      <c:valAx>
        <c:axId val="112848256"/>
        <c:scaling>
          <c:orientation val="minMax"/>
          <c:max val="5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284633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Measurement!$AG$16:$AG$44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8-4C9F-A501-178108A37E38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Measurement!$AH$16:$AH$44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8-4C9F-A501-178108A37E38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Measurement!$AG$48:$AG$76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B8-4C9F-A501-178108A37E38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Measurement!$AH$48:$AH$76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B8-4C9F-A501-178108A37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167744"/>
        <c:axId val="113169920"/>
      </c:scatterChart>
      <c:valAx>
        <c:axId val="113167744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3169920"/>
        <c:crosses val="autoZero"/>
        <c:crossBetween val="midCat"/>
        <c:majorUnit val="10"/>
      </c:valAx>
      <c:valAx>
        <c:axId val="113169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3167744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Measurement!$AQ$16:$AQ$44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DE-4B1C-8C6D-99F9EEBA9CBF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Measurement!$AR$16:$AR$44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DE-4B1C-8C6D-99F9EEBA9CBF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Measurement!$AQ$48:$AQ$76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DE-4B1C-8C6D-99F9EEBA9CBF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Measurement!$AR$48:$AR$76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DE-4B1C-8C6D-99F9EEBA9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52672"/>
        <c:axId val="114654592"/>
      </c:scatterChart>
      <c:valAx>
        <c:axId val="11465267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4654592"/>
        <c:crosses val="autoZero"/>
        <c:crossBetween val="midCat"/>
        <c:majorUnit val="10"/>
      </c:valAx>
      <c:valAx>
        <c:axId val="114654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465267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Measurement!$BA$16:$BA$44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64-4D0E-A6B8-BE1D445ED9E1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Measurement!$BB$16:$BB$44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64-4D0E-A6B8-BE1D445ED9E1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Measurement!$BA$48:$BA$76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64-4D0E-A6B8-BE1D445ED9E1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Measurement!$BB$48:$BB$76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64-4D0E-A6B8-BE1D445ED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11168"/>
        <c:axId val="114721536"/>
      </c:scatterChart>
      <c:valAx>
        <c:axId val="11471116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4721536"/>
        <c:crosses val="autoZero"/>
        <c:crossBetween val="midCat"/>
        <c:majorUnit val="10"/>
      </c:valAx>
      <c:valAx>
        <c:axId val="114721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471116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Measurement!$O$16:$O$44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05-4118-BB57-1CA5D83E6031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Measurement!$P$16:$P$44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05-4118-BB57-1CA5D83E6031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Measurement!$O$48:$O$76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05-4118-BB57-1CA5D83E6031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Measurement!$P$48:$P$76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05-4118-BB57-1CA5D83E6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50208"/>
        <c:axId val="114752128"/>
      </c:scatterChart>
      <c:valAx>
        <c:axId val="11475020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4752128"/>
        <c:crosses val="autoZero"/>
        <c:crossBetween val="midCat"/>
        <c:majorUnit val="10"/>
      </c:valAx>
      <c:valAx>
        <c:axId val="114752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475020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Measurement!$Q$16:$Q$44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BE-4D9F-A274-6DDF6A280C66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Measurement!$R$16:$R$44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BE-4D9F-A274-6DDF6A280C66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Measurement!$Q$48:$Q$76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BE-4D9F-A274-6DDF6A280C66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Measurement!$R$48:$R$76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BE-4D9F-A274-6DDF6A280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177920"/>
        <c:axId val="116184192"/>
      </c:scatterChart>
      <c:valAx>
        <c:axId val="116177920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6184192"/>
        <c:crosses val="autoZero"/>
        <c:crossBetween val="midCat"/>
        <c:majorUnit val="10"/>
      </c:valAx>
      <c:valAx>
        <c:axId val="116184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6177920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Measurement!$S$16:$S$44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89-49AD-B850-795DF4280CDD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Measurement!$T$16:$T$44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89-49AD-B850-795DF4280CDD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Measurement!$S$48:$S$76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889-49AD-B850-795DF4280CDD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Measurement!$T$48:$T$76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889-49AD-B850-795DF4280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35872"/>
        <c:axId val="117537792"/>
      </c:scatterChart>
      <c:valAx>
        <c:axId val="11753587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7537792"/>
        <c:crosses val="autoZero"/>
        <c:crossBetween val="midCat"/>
        <c:majorUnit val="10"/>
      </c:valAx>
      <c:valAx>
        <c:axId val="1175377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753587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Measurement!$U$16:$U$44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58-4CFF-94B4-D9BC66D3E1C0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Measurement!$V$16:$V$44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58-4CFF-94B4-D9BC66D3E1C0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Measurement!$U$48:$U$76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58-4CFF-94B4-D9BC66D3E1C0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Measurement!$V$48:$V$76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58-4CFF-94B4-D9BC66D3E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648384"/>
        <c:axId val="117666944"/>
      </c:scatterChart>
      <c:valAx>
        <c:axId val="117648384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7666944"/>
        <c:crosses val="autoZero"/>
        <c:crossBetween val="midCat"/>
        <c:majorUnit val="10"/>
      </c:valAx>
      <c:valAx>
        <c:axId val="11766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7648384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Measurement!$Y$16:$Y$44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79-467F-B937-970D00CF8A9D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Measurement!$Z$16:$Z$44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79-467F-B937-970D00CF8A9D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Measurement!$Y$48:$Y$76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79-467F-B937-970D00CF8A9D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Measurement!$Z$48:$Z$76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79-467F-B937-970D00CF8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20576"/>
        <c:axId val="117722496"/>
      </c:scatterChart>
      <c:valAx>
        <c:axId val="11772057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7722496"/>
        <c:crosses val="autoZero"/>
        <c:crossBetween val="midCat"/>
        <c:majorUnit val="10"/>
      </c:valAx>
      <c:valAx>
        <c:axId val="1177224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772057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Measurement!$AA$16:$AA$44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BB-4618-BD3C-00861E16C3FD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Measurement!$AB$16:$AB$44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BB-4618-BD3C-00861E16C3FD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Measurement!$AA$48:$AA$76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BB-4618-BD3C-00861E16C3FD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Measurement!$AB$48:$AB$76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BB-4618-BD3C-00861E16C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55264"/>
        <c:axId val="117761536"/>
      </c:scatterChart>
      <c:valAx>
        <c:axId val="117755264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7761536"/>
        <c:crosses val="autoZero"/>
        <c:crossBetween val="midCat"/>
        <c:majorUnit val="10"/>
      </c:valAx>
      <c:valAx>
        <c:axId val="117761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7755264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Measurement!$AC$16:$AC$44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06-4E58-AD53-13ECC631E157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Measurement!$AD$16:$AD$44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06-4E58-AD53-13ECC631E157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Measurement!$AC$48:$AC$76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06-4E58-AD53-13ECC631E157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Measurement!$AD$48:$AD$76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06-4E58-AD53-13ECC631E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06592"/>
        <c:axId val="117808512"/>
      </c:scatterChart>
      <c:valAx>
        <c:axId val="11780659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7808512"/>
        <c:crosses val="autoZero"/>
        <c:crossBetween val="midCat"/>
        <c:majorUnit val="10"/>
      </c:valAx>
      <c:valAx>
        <c:axId val="1178085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780659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Measurement!$AE$16:$AE$44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B3-4A37-B01C-96D1A7FB05F5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Measurement!$AF$16:$AF$44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B3-4A37-B01C-96D1A7FB05F5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Measurement!$AE$48:$AE$76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B3-4A37-B01C-96D1A7FB05F5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Measurement!$AF$48:$AF$76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B3-4A37-B01C-96D1A7FB0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62400"/>
        <c:axId val="117864320"/>
      </c:scatterChart>
      <c:valAx>
        <c:axId val="117862400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7864320"/>
        <c:crosses val="autoZero"/>
        <c:crossBetween val="midCat"/>
        <c:majorUnit val="10"/>
      </c:valAx>
      <c:valAx>
        <c:axId val="117864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7862400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Measurement!$AI$16:$AI$44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3D-444E-8386-75483D9B3D1A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Measurement!$AJ$16:$AJ$44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3D-444E-8386-75483D9B3D1A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Measurement!$AI$48:$AI$76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3D-444E-8386-75483D9B3D1A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Measurement!$AJ$48:$AJ$76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3D-444E-8386-75483D9B3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54560"/>
        <c:axId val="119169024"/>
      </c:scatterChart>
      <c:valAx>
        <c:axId val="119154560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169024"/>
        <c:crosses val="autoZero"/>
        <c:crossBetween val="midCat"/>
        <c:majorUnit val="10"/>
      </c:valAx>
      <c:valAx>
        <c:axId val="119169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154560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Measurement!$AK$16:$AK$44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5E-4045-AA25-06DFE9CB92E9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Measurement!$AL$16:$AL$44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5E-4045-AA25-06DFE9CB92E9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Measurement!$AK$48:$AK$76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95E-4045-AA25-06DFE9CB92E9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Measurement!$AL$48:$AL$76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5E-4045-AA25-06DFE9CB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5248"/>
        <c:axId val="119080448"/>
      </c:scatterChart>
      <c:valAx>
        <c:axId val="11920524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080448"/>
        <c:crosses val="autoZero"/>
        <c:crossBetween val="midCat"/>
        <c:majorUnit val="10"/>
      </c:valAx>
      <c:valAx>
        <c:axId val="119080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20524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Measurement!$AM$16:$AM$44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53-4920-A73B-2897594C1A10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Measurement!$AN$16:$AN$44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53-4920-A73B-2897594C1A10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Measurement!$AM$48:$AM$76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53-4920-A73B-2897594C1A10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Measurement!$AN$48:$AN$76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53-4920-A73B-2897594C1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33696"/>
        <c:axId val="119135616"/>
      </c:scatterChart>
      <c:valAx>
        <c:axId val="11913369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135616"/>
        <c:crosses val="autoZero"/>
        <c:crossBetween val="midCat"/>
        <c:majorUnit val="10"/>
      </c:valAx>
      <c:valAx>
        <c:axId val="1191356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13369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Measurement!$AO$16:$AO$44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F0-447E-B514-88D80EF1CB76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Measurement!$AP$16:$AP$44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F0-447E-B514-88D80EF1CB76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Measurement!$AO$48:$AO$76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F0-447E-B514-88D80EF1CB76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Measurement!$AP$48:$AP$76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F0-447E-B514-88D80EF1C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03872"/>
        <c:axId val="119518336"/>
      </c:scatterChart>
      <c:valAx>
        <c:axId val="11950387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518336"/>
        <c:crosses val="autoZero"/>
        <c:crossBetween val="midCat"/>
        <c:majorUnit val="10"/>
      </c:valAx>
      <c:valAx>
        <c:axId val="119518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50387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Measurement!$AS$16:$AS$44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67-44EB-9E10-9441CA759454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Measurement!$AT$16:$AT$44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67-44EB-9E10-9441CA759454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Measurement!$AS$48:$AS$76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67-44EB-9E10-9441CA759454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Measurement!$AT$48:$AT$76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967-44EB-9E10-9441CA759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63008"/>
        <c:axId val="119564928"/>
      </c:scatterChart>
      <c:valAx>
        <c:axId val="11956300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564928"/>
        <c:crosses val="autoZero"/>
        <c:crossBetween val="midCat"/>
        <c:majorUnit val="10"/>
      </c:valAx>
      <c:valAx>
        <c:axId val="119564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56300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Measurement!$AU$16:$AU$44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98-4C95-85AA-7FE62CDCA7CC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Measurement!$AV$16:$AV$44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98-4C95-85AA-7FE62CDCA7CC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Measurement!$AU$48:$AU$76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98-4C95-85AA-7FE62CDCA7CC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Measurement!$AV$48:$AV$76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98-4C95-85AA-7FE62CDCA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97696"/>
        <c:axId val="119677696"/>
      </c:scatterChart>
      <c:valAx>
        <c:axId val="11959769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677696"/>
        <c:crosses val="autoZero"/>
        <c:crossBetween val="midCat"/>
        <c:majorUnit val="10"/>
      </c:valAx>
      <c:valAx>
        <c:axId val="1196776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59769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Measurement!$AW$16:$AW$44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2-464D-B61D-9BA9A13A95EB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Measurement!$AX$16:$AX$44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2-464D-B61D-9BA9A13A95EB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Measurement!$AW$48:$AW$76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42-464D-B61D-9BA9A13A95EB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Measurement!$AX$48:$AX$76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42-464D-B61D-9BA9A13A9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18656"/>
        <c:axId val="119720576"/>
      </c:scatterChart>
      <c:valAx>
        <c:axId val="11971865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720576"/>
        <c:crosses val="autoZero"/>
        <c:crossBetween val="midCat"/>
        <c:majorUnit val="10"/>
      </c:valAx>
      <c:valAx>
        <c:axId val="119720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71865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Measurement!$AY$16:$AY$44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6-448C-A37A-D593E3EEE337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Measurement!$AZ$16:$AZ$44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36-448C-A37A-D593E3EEE337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Measurement!$AY$48:$AY$76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36-448C-A37A-D593E3EEE337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Measurement!$AZ$48:$AZ$76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36-448C-A37A-D593E3EEE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69728"/>
        <c:axId val="119784192"/>
      </c:scatterChart>
      <c:valAx>
        <c:axId val="11976972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784192"/>
        <c:crosses val="autoZero"/>
        <c:crossBetween val="midCat"/>
        <c:majorUnit val="10"/>
      </c:valAx>
      <c:valAx>
        <c:axId val="119784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76972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Measurement!$BC$16:$BC$44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E0-42F7-A417-353C8EBA4431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Measurement!$BD$16:$BD$44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E0-42F7-A417-353C8EBA4431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Measurement!$BC$48:$BC$76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E0-42F7-A417-353C8EBA4431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Measurement!$BD$48:$BD$76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E0-42F7-A417-353C8EBA44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88896"/>
        <c:axId val="115890816"/>
      </c:scatterChart>
      <c:valAx>
        <c:axId val="115888896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890816"/>
        <c:crosses val="autoZero"/>
        <c:crossBetween val="midCat"/>
        <c:majorUnit val="10"/>
      </c:valAx>
      <c:valAx>
        <c:axId val="115890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888896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Measurement!$BE$16:$BE$44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51-4DA3-B93E-9EB9106C9661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Measurement!$BF$16:$BF$44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51-4DA3-B93E-9EB9106C9661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Measurement!$BE$48:$BE$76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51-4DA3-B93E-9EB9106C9661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Measurement!$BF$48:$BF$76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51-4DA3-B93E-9EB9106C9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35872"/>
        <c:axId val="115942144"/>
      </c:scatterChart>
      <c:valAx>
        <c:axId val="11593587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942144"/>
        <c:crosses val="autoZero"/>
        <c:crossBetween val="midCat"/>
        <c:majorUnit val="10"/>
      </c:valAx>
      <c:valAx>
        <c:axId val="115942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93587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Measurement!$BG$16:$BG$44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2D-4F53-A611-82526C92A24F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Measurement!$BH$16:$BH$44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2D-4F53-A611-82526C92A24F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Measurement!$BG$48:$BG$76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2D-4F53-A611-82526C92A24F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Measurement!$BH$48:$BH$76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2D-4F53-A611-82526C92A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87200"/>
        <c:axId val="115989120"/>
      </c:scatterChart>
      <c:valAx>
        <c:axId val="115987200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989120"/>
        <c:crosses val="autoZero"/>
        <c:crossBetween val="midCat"/>
        <c:majorUnit val="10"/>
      </c:valAx>
      <c:valAx>
        <c:axId val="115989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5987200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Measurement!$BM$16:$BM$44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2-4042-9D2A-25C8E5006D47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Measurement!$BN$16:$BN$44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2-4042-9D2A-25C8E5006D47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Measurement!$BM$48:$BM$76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2-4042-9D2A-25C8E5006D47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Measurement!$BN$48:$BN$76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2-4042-9D2A-25C8E5006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042368"/>
        <c:axId val="116052736"/>
      </c:scatterChart>
      <c:valAx>
        <c:axId val="116042368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6052736"/>
        <c:crosses val="autoZero"/>
        <c:crossBetween val="midCat"/>
        <c:majorUnit val="10"/>
      </c:valAx>
      <c:valAx>
        <c:axId val="116052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6042368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Measurement!$BK$16:$BK$44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16-4FBB-818B-51D994B52696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Measurement!$BL$16:$BL$44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16-4FBB-818B-51D994B52696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Measurement!$BK$48:$BK$76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16-4FBB-818B-51D994B52696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Measurement!$BL$48:$BL$76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16-4FBB-818B-51D994B52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91072"/>
        <c:axId val="119892992"/>
      </c:scatterChart>
      <c:valAx>
        <c:axId val="11989107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892992"/>
        <c:crosses val="autoZero"/>
        <c:crossBetween val="midCat"/>
        <c:majorUnit val="10"/>
      </c:valAx>
      <c:valAx>
        <c:axId val="119892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1989107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242621650710928"/>
          <c:y val="0.1226130954163049"/>
          <c:w val="0.737526010687513"/>
          <c:h val="0.70878516611279108"/>
        </c:manualLayout>
      </c:layout>
      <c:scatterChart>
        <c:scatterStyle val="smoothMarker"/>
        <c:varyColors val="0"/>
        <c:ser>
          <c:idx val="0"/>
          <c:order val="0"/>
          <c:tx>
            <c:v>Before Fwd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Measurement!$BM$16:$BM$44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57-4387-8C5E-078D2AC523AA}"/>
            </c:ext>
          </c:extLst>
        </c:ser>
        <c:ser>
          <c:idx val="2"/>
          <c:order val="1"/>
          <c:tx>
            <c:v>Before Rev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Measurement!$B$16:$B$44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Measurement!$BN$16:$BN$44</c:f>
              <c:numCache>
                <c:formatCode>General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57-4387-8C5E-078D2AC523AA}"/>
            </c:ext>
          </c:extLst>
        </c:ser>
        <c:ser>
          <c:idx val="1"/>
          <c:order val="2"/>
          <c:tx>
            <c:v>After Fwd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Measurement!$BM$48:$BM$76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57-4387-8C5E-078D2AC523AA}"/>
            </c:ext>
          </c:extLst>
        </c:ser>
        <c:ser>
          <c:idx val="3"/>
          <c:order val="3"/>
          <c:tx>
            <c:v>After Rev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Measurement!$B$48:$B$76</c:f>
              <c:numCache>
                <c:formatCode>General</c:formatCode>
                <c:ptCount val="29"/>
                <c:pt idx="0">
                  <c:v>1E-4</c:v>
                </c:pt>
                <c:pt idx="1">
                  <c:v>2.0000000000000001E-4</c:v>
                </c:pt>
                <c:pt idx="2">
                  <c:v>3.0000000000000003E-4</c:v>
                </c:pt>
                <c:pt idx="3">
                  <c:v>5.0000000000000001E-4</c:v>
                </c:pt>
                <c:pt idx="4">
                  <c:v>6.9999999999999999E-4</c:v>
                </c:pt>
                <c:pt idx="5">
                  <c:v>1E-3</c:v>
                </c:pt>
                <c:pt idx="6">
                  <c:v>2E-3</c:v>
                </c:pt>
                <c:pt idx="7">
                  <c:v>3.0000000000000001E-3</c:v>
                </c:pt>
                <c:pt idx="8">
                  <c:v>5.0000000000000001E-3</c:v>
                </c:pt>
                <c:pt idx="9">
                  <c:v>7.0000000000000001E-3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0.05</c:v>
                </c:pt>
                <c:pt idx="14">
                  <c:v>7.0000000000000007E-2</c:v>
                </c:pt>
                <c:pt idx="15">
                  <c:v>0.1</c:v>
                </c:pt>
                <c:pt idx="16">
                  <c:v>0.2</c:v>
                </c:pt>
                <c:pt idx="17">
                  <c:v>0.3</c:v>
                </c:pt>
                <c:pt idx="18">
                  <c:v>0.5</c:v>
                </c:pt>
                <c:pt idx="19">
                  <c:v>0.70000000000000007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7</c:v>
                </c:pt>
                <c:pt idx="25">
                  <c:v>10</c:v>
                </c:pt>
                <c:pt idx="26">
                  <c:v>13</c:v>
                </c:pt>
                <c:pt idx="27">
                  <c:v>15</c:v>
                </c:pt>
                <c:pt idx="28">
                  <c:v>20</c:v>
                </c:pt>
              </c:numCache>
            </c:numRef>
          </c:xVal>
          <c:yVal>
            <c:numRef>
              <c:f>Measurement!$BN$48:$BN$76</c:f>
              <c:numCache>
                <c:formatCode>0.000</c:formatCode>
                <c:ptCount val="2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57-4387-8C5E-078D2AC52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15712"/>
        <c:axId val="121317632"/>
      </c:scatterChart>
      <c:valAx>
        <c:axId val="121315712"/>
        <c:scaling>
          <c:logBase val="10"/>
          <c:orientation val="minMax"/>
          <c:max val="1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Current [mA]</a:t>
                </a:r>
              </a:p>
            </c:rich>
          </c:tx>
          <c:layout>
            <c:manualLayout>
              <c:xMode val="edge"/>
              <c:yMode val="edge"/>
              <c:x val="0.40871919787005045"/>
              <c:y val="0.912775465804417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21317632"/>
        <c:crosses val="autoZero"/>
        <c:crossBetween val="midCat"/>
        <c:majorUnit val="10"/>
      </c:valAx>
      <c:valAx>
        <c:axId val="121317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DE"/>
                  <a:t>Voltage [V]</a:t>
                </a:r>
              </a:p>
            </c:rich>
          </c:tx>
          <c:layout>
            <c:manualLayout>
              <c:xMode val="edge"/>
              <c:yMode val="edge"/>
              <c:x val="1.4388489208633094E-2"/>
              <c:y val="0.3264860333522948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21315712"/>
        <c:crossesAt val="9.9999999999999995E-7"/>
        <c:crossBetween val="midCat"/>
      </c:valAx>
    </c:plotArea>
    <c:legend>
      <c:legendPos val="t"/>
      <c:layout>
        <c:manualLayout>
          <c:xMode val="edge"/>
          <c:yMode val="edge"/>
          <c:x val="8.5097528276591325E-2"/>
          <c:y val="0"/>
          <c:w val="0.85378575879453922"/>
          <c:h val="0.1068842250232029"/>
        </c:manualLayout>
      </c:layout>
      <c:overlay val="0"/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18" Type="http://schemas.openxmlformats.org/officeDocument/2006/relationships/chart" Target="../charts/chart19.xml"/><Relationship Id="rId26" Type="http://schemas.openxmlformats.org/officeDocument/2006/relationships/chart" Target="../charts/chart27.xml"/><Relationship Id="rId3" Type="http://schemas.openxmlformats.org/officeDocument/2006/relationships/chart" Target="../charts/chart4.xml"/><Relationship Id="rId21" Type="http://schemas.openxmlformats.org/officeDocument/2006/relationships/chart" Target="../charts/chart22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5" Type="http://schemas.openxmlformats.org/officeDocument/2006/relationships/chart" Target="../charts/chart26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20" Type="http://schemas.openxmlformats.org/officeDocument/2006/relationships/chart" Target="../charts/chart21.xml"/><Relationship Id="rId29" Type="http://schemas.openxmlformats.org/officeDocument/2006/relationships/chart" Target="../charts/chart30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24" Type="http://schemas.openxmlformats.org/officeDocument/2006/relationships/chart" Target="../charts/chart25.xml"/><Relationship Id="rId32" Type="http://schemas.openxmlformats.org/officeDocument/2006/relationships/chart" Target="../charts/chart33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23" Type="http://schemas.openxmlformats.org/officeDocument/2006/relationships/chart" Target="../charts/chart24.xml"/><Relationship Id="rId28" Type="http://schemas.openxmlformats.org/officeDocument/2006/relationships/chart" Target="../charts/chart29.xml"/><Relationship Id="rId10" Type="http://schemas.openxmlformats.org/officeDocument/2006/relationships/chart" Target="../charts/chart11.xml"/><Relationship Id="rId19" Type="http://schemas.openxmlformats.org/officeDocument/2006/relationships/chart" Target="../charts/chart20.xml"/><Relationship Id="rId31" Type="http://schemas.openxmlformats.org/officeDocument/2006/relationships/chart" Target="../charts/chart32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Relationship Id="rId22" Type="http://schemas.openxmlformats.org/officeDocument/2006/relationships/chart" Target="../charts/chart23.xml"/><Relationship Id="rId27" Type="http://schemas.openxmlformats.org/officeDocument/2006/relationships/chart" Target="../charts/chart28.xml"/><Relationship Id="rId30" Type="http://schemas.openxmlformats.org/officeDocument/2006/relationships/chart" Target="../charts/chart3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36021</xdr:colOff>
      <xdr:row>1</xdr:row>
      <xdr:rowOff>73479</xdr:rowOff>
    </xdr:from>
    <xdr:to>
      <xdr:col>21</xdr:col>
      <xdr:colOff>464646</xdr:colOff>
      <xdr:row>12</xdr:row>
      <xdr:rowOff>130629</xdr:rowOff>
    </xdr:to>
    <xdr:graphicFrame macro="">
      <xdr:nvGraphicFramePr>
        <xdr:cNvPr id="4212" name="Diagramm 1">
          <a:extLs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</xdr:row>
          <xdr:rowOff>161925</xdr:rowOff>
        </xdr:from>
        <xdr:to>
          <xdr:col>1</xdr:col>
          <xdr:colOff>581025</xdr:colOff>
          <xdr:row>12</xdr:row>
          <xdr:rowOff>171450</xdr:rowOff>
        </xdr:to>
        <xdr:sp macro="" textlink="">
          <xdr:nvSpPr>
            <xdr:cNvPr id="4120" name="cmdMeasure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342900</xdr:colOff>
          <xdr:row>5</xdr:row>
          <xdr:rowOff>95250</xdr:rowOff>
        </xdr:from>
        <xdr:to>
          <xdr:col>14</xdr:col>
          <xdr:colOff>552450</xdr:colOff>
          <xdr:row>8</xdr:row>
          <xdr:rowOff>28575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 before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342900</xdr:colOff>
          <xdr:row>8</xdr:row>
          <xdr:rowOff>95250</xdr:rowOff>
        </xdr:from>
        <xdr:to>
          <xdr:col>14</xdr:col>
          <xdr:colOff>552450</xdr:colOff>
          <xdr:row>11</xdr:row>
          <xdr:rowOff>57150</xdr:rowOff>
        </xdr:to>
        <xdr:sp macro="" textlink="">
          <xdr:nvSpPr>
            <xdr:cNvPr id="4122" name="Button 26" descr="Get Data after txt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 after txt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8</xdr:row>
      <xdr:rowOff>0</xdr:rowOff>
    </xdr:from>
    <xdr:to>
      <xdr:col>12</xdr:col>
      <xdr:colOff>220700</xdr:colOff>
      <xdr:row>14</xdr:row>
      <xdr:rowOff>110150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850" y="2609850"/>
          <a:ext cx="4030700" cy="1519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</xdr:row>
      <xdr:rowOff>38100</xdr:rowOff>
    </xdr:from>
    <xdr:to>
      <xdr:col>0</xdr:col>
      <xdr:colOff>2667000</xdr:colOff>
      <xdr:row>1</xdr:row>
      <xdr:rowOff>2543175</xdr:rowOff>
    </xdr:to>
    <xdr:graphicFrame macro="">
      <xdr:nvGraphicFramePr>
        <xdr:cNvPr id="1127457" name="Diagramm 1">
          <a:extLst>
            <a:ext uri="{FF2B5EF4-FFF2-40B4-BE49-F238E27FC236}">
              <a16:creationId xmlns:a16="http://schemas.microsoft.com/office/drawing/2014/main" id="{00000000-0008-0000-0100-000021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25295</xdr:colOff>
      <xdr:row>1</xdr:row>
      <xdr:rowOff>42903</xdr:rowOff>
    </xdr:from>
    <xdr:to>
      <xdr:col>1</xdr:col>
      <xdr:colOff>2650822</xdr:colOff>
      <xdr:row>1</xdr:row>
      <xdr:rowOff>2530928</xdr:rowOff>
    </xdr:to>
    <xdr:graphicFrame macro="">
      <xdr:nvGraphicFramePr>
        <xdr:cNvPr id="1127458" name="Diagramm 1">
          <a:extLst>
            <a:ext uri="{FF2B5EF4-FFF2-40B4-BE49-F238E27FC236}">
              <a16:creationId xmlns:a16="http://schemas.microsoft.com/office/drawing/2014/main" id="{00000000-0008-0000-0100-000022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38100</xdr:colOff>
      <xdr:row>1</xdr:row>
      <xdr:rowOff>38100</xdr:rowOff>
    </xdr:from>
    <xdr:to>
      <xdr:col>2</xdr:col>
      <xdr:colOff>2686050</xdr:colOff>
      <xdr:row>1</xdr:row>
      <xdr:rowOff>2543175</xdr:rowOff>
    </xdr:to>
    <xdr:graphicFrame macro="">
      <xdr:nvGraphicFramePr>
        <xdr:cNvPr id="1127459" name="Diagramm 1">
          <a:extLst>
            <a:ext uri="{FF2B5EF4-FFF2-40B4-BE49-F238E27FC236}">
              <a16:creationId xmlns:a16="http://schemas.microsoft.com/office/drawing/2014/main" id="{00000000-0008-0000-0100-000023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38100</xdr:colOff>
      <xdr:row>1</xdr:row>
      <xdr:rowOff>38100</xdr:rowOff>
    </xdr:from>
    <xdr:to>
      <xdr:col>3</xdr:col>
      <xdr:colOff>2686050</xdr:colOff>
      <xdr:row>1</xdr:row>
      <xdr:rowOff>2543175</xdr:rowOff>
    </xdr:to>
    <xdr:graphicFrame macro="">
      <xdr:nvGraphicFramePr>
        <xdr:cNvPr id="1127460" name="Diagramm 1">
          <a:extLst>
            <a:ext uri="{FF2B5EF4-FFF2-40B4-BE49-F238E27FC236}">
              <a16:creationId xmlns:a16="http://schemas.microsoft.com/office/drawing/2014/main" id="{00000000-0008-0000-0100-000024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28575</xdr:colOff>
      <xdr:row>1</xdr:row>
      <xdr:rowOff>38100</xdr:rowOff>
    </xdr:from>
    <xdr:to>
      <xdr:col>4</xdr:col>
      <xdr:colOff>2676525</xdr:colOff>
      <xdr:row>1</xdr:row>
      <xdr:rowOff>2543175</xdr:rowOff>
    </xdr:to>
    <xdr:graphicFrame macro="">
      <xdr:nvGraphicFramePr>
        <xdr:cNvPr id="1127461" name="Diagramm 1">
          <a:extLst>
            <a:ext uri="{FF2B5EF4-FFF2-40B4-BE49-F238E27FC236}">
              <a16:creationId xmlns:a16="http://schemas.microsoft.com/office/drawing/2014/main" id="{00000000-0008-0000-0100-000025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38100</xdr:colOff>
      <xdr:row>4</xdr:row>
      <xdr:rowOff>47625</xdr:rowOff>
    </xdr:from>
    <xdr:to>
      <xdr:col>0</xdr:col>
      <xdr:colOff>2686050</xdr:colOff>
      <xdr:row>4</xdr:row>
      <xdr:rowOff>2552700</xdr:rowOff>
    </xdr:to>
    <xdr:graphicFrame macro="">
      <xdr:nvGraphicFramePr>
        <xdr:cNvPr id="1127462" name="Diagramm 1">
          <a:extLst>
            <a:ext uri="{FF2B5EF4-FFF2-40B4-BE49-F238E27FC236}">
              <a16:creationId xmlns:a16="http://schemas.microsoft.com/office/drawing/2014/main" id="{00000000-0008-0000-0100-000026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38100</xdr:colOff>
      <xdr:row>7</xdr:row>
      <xdr:rowOff>47625</xdr:rowOff>
    </xdr:from>
    <xdr:to>
      <xdr:col>0</xdr:col>
      <xdr:colOff>2686050</xdr:colOff>
      <xdr:row>7</xdr:row>
      <xdr:rowOff>2552700</xdr:rowOff>
    </xdr:to>
    <xdr:graphicFrame macro="">
      <xdr:nvGraphicFramePr>
        <xdr:cNvPr id="1127463" name="Diagramm 1">
          <a:extLst>
            <a:ext uri="{FF2B5EF4-FFF2-40B4-BE49-F238E27FC236}">
              <a16:creationId xmlns:a16="http://schemas.microsoft.com/office/drawing/2014/main" id="{00000000-0008-0000-0100-000027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28575</xdr:colOff>
      <xdr:row>10</xdr:row>
      <xdr:rowOff>38100</xdr:rowOff>
    </xdr:from>
    <xdr:to>
      <xdr:col>0</xdr:col>
      <xdr:colOff>2676525</xdr:colOff>
      <xdr:row>10</xdr:row>
      <xdr:rowOff>2543175</xdr:rowOff>
    </xdr:to>
    <xdr:graphicFrame macro="">
      <xdr:nvGraphicFramePr>
        <xdr:cNvPr id="1127464" name="Diagramm 1">
          <a:extLst>
            <a:ext uri="{FF2B5EF4-FFF2-40B4-BE49-F238E27FC236}">
              <a16:creationId xmlns:a16="http://schemas.microsoft.com/office/drawing/2014/main" id="{00000000-0008-0000-0100-000028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38100</xdr:colOff>
      <xdr:row>13</xdr:row>
      <xdr:rowOff>38100</xdr:rowOff>
    </xdr:from>
    <xdr:to>
      <xdr:col>0</xdr:col>
      <xdr:colOff>2686050</xdr:colOff>
      <xdr:row>13</xdr:row>
      <xdr:rowOff>2543175</xdr:rowOff>
    </xdr:to>
    <xdr:graphicFrame macro="">
      <xdr:nvGraphicFramePr>
        <xdr:cNvPr id="1127465" name="Diagramm 1">
          <a:extLst>
            <a:ext uri="{FF2B5EF4-FFF2-40B4-BE49-F238E27FC236}">
              <a16:creationId xmlns:a16="http://schemas.microsoft.com/office/drawing/2014/main" id="{00000000-0008-0000-0100-000029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38100</xdr:colOff>
      <xdr:row>16</xdr:row>
      <xdr:rowOff>38100</xdr:rowOff>
    </xdr:from>
    <xdr:to>
      <xdr:col>0</xdr:col>
      <xdr:colOff>2686050</xdr:colOff>
      <xdr:row>16</xdr:row>
      <xdr:rowOff>2543175</xdr:rowOff>
    </xdr:to>
    <xdr:graphicFrame macro="">
      <xdr:nvGraphicFramePr>
        <xdr:cNvPr id="1127466" name="Diagramm 1">
          <a:extLst>
            <a:ext uri="{FF2B5EF4-FFF2-40B4-BE49-F238E27FC236}">
              <a16:creationId xmlns:a16="http://schemas.microsoft.com/office/drawing/2014/main" id="{00000000-0008-0000-0100-00002A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57150</xdr:colOff>
      <xdr:row>4</xdr:row>
      <xdr:rowOff>47625</xdr:rowOff>
    </xdr:from>
    <xdr:to>
      <xdr:col>1</xdr:col>
      <xdr:colOff>2705100</xdr:colOff>
      <xdr:row>4</xdr:row>
      <xdr:rowOff>2552700</xdr:rowOff>
    </xdr:to>
    <xdr:graphicFrame macro="">
      <xdr:nvGraphicFramePr>
        <xdr:cNvPr id="1127467" name="Diagramm 1">
          <a:extLst>
            <a:ext uri="{FF2B5EF4-FFF2-40B4-BE49-F238E27FC236}">
              <a16:creationId xmlns:a16="http://schemas.microsoft.com/office/drawing/2014/main" id="{00000000-0008-0000-0100-00002B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38100</xdr:colOff>
      <xdr:row>4</xdr:row>
      <xdr:rowOff>47625</xdr:rowOff>
    </xdr:from>
    <xdr:to>
      <xdr:col>2</xdr:col>
      <xdr:colOff>2686050</xdr:colOff>
      <xdr:row>4</xdr:row>
      <xdr:rowOff>2552700</xdr:rowOff>
    </xdr:to>
    <xdr:graphicFrame macro="">
      <xdr:nvGraphicFramePr>
        <xdr:cNvPr id="1127468" name="Diagramm 1">
          <a:extLst>
            <a:ext uri="{FF2B5EF4-FFF2-40B4-BE49-F238E27FC236}">
              <a16:creationId xmlns:a16="http://schemas.microsoft.com/office/drawing/2014/main" id="{00000000-0008-0000-0100-00002C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38100</xdr:colOff>
      <xdr:row>4</xdr:row>
      <xdr:rowOff>47625</xdr:rowOff>
    </xdr:from>
    <xdr:to>
      <xdr:col>3</xdr:col>
      <xdr:colOff>2686050</xdr:colOff>
      <xdr:row>4</xdr:row>
      <xdr:rowOff>2552700</xdr:rowOff>
    </xdr:to>
    <xdr:graphicFrame macro="">
      <xdr:nvGraphicFramePr>
        <xdr:cNvPr id="1127469" name="Diagramm 1">
          <a:extLst>
            <a:ext uri="{FF2B5EF4-FFF2-40B4-BE49-F238E27FC236}">
              <a16:creationId xmlns:a16="http://schemas.microsoft.com/office/drawing/2014/main" id="{00000000-0008-0000-0100-00002D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38100</xdr:colOff>
      <xdr:row>4</xdr:row>
      <xdr:rowOff>47625</xdr:rowOff>
    </xdr:from>
    <xdr:to>
      <xdr:col>4</xdr:col>
      <xdr:colOff>2686050</xdr:colOff>
      <xdr:row>4</xdr:row>
      <xdr:rowOff>2552700</xdr:rowOff>
    </xdr:to>
    <xdr:graphicFrame macro="">
      <xdr:nvGraphicFramePr>
        <xdr:cNvPr id="1127470" name="Diagramm 1">
          <a:extLst>
            <a:ext uri="{FF2B5EF4-FFF2-40B4-BE49-F238E27FC236}">
              <a16:creationId xmlns:a16="http://schemas.microsoft.com/office/drawing/2014/main" id="{00000000-0008-0000-0100-00002E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38100</xdr:colOff>
      <xdr:row>7</xdr:row>
      <xdr:rowOff>47625</xdr:rowOff>
    </xdr:from>
    <xdr:to>
      <xdr:col>1</xdr:col>
      <xdr:colOff>2686050</xdr:colOff>
      <xdr:row>7</xdr:row>
      <xdr:rowOff>2552700</xdr:rowOff>
    </xdr:to>
    <xdr:graphicFrame macro="">
      <xdr:nvGraphicFramePr>
        <xdr:cNvPr id="1127471" name="Diagramm 1">
          <a:extLst>
            <a:ext uri="{FF2B5EF4-FFF2-40B4-BE49-F238E27FC236}">
              <a16:creationId xmlns:a16="http://schemas.microsoft.com/office/drawing/2014/main" id="{00000000-0008-0000-0100-00002F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38100</xdr:colOff>
      <xdr:row>7</xdr:row>
      <xdr:rowOff>47625</xdr:rowOff>
    </xdr:from>
    <xdr:to>
      <xdr:col>2</xdr:col>
      <xdr:colOff>2686050</xdr:colOff>
      <xdr:row>7</xdr:row>
      <xdr:rowOff>2552700</xdr:rowOff>
    </xdr:to>
    <xdr:graphicFrame macro="">
      <xdr:nvGraphicFramePr>
        <xdr:cNvPr id="1127472" name="Diagramm 1">
          <a:extLst>
            <a:ext uri="{FF2B5EF4-FFF2-40B4-BE49-F238E27FC236}">
              <a16:creationId xmlns:a16="http://schemas.microsoft.com/office/drawing/2014/main" id="{00000000-0008-0000-0100-000030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47625</xdr:colOff>
      <xdr:row>7</xdr:row>
      <xdr:rowOff>47625</xdr:rowOff>
    </xdr:from>
    <xdr:to>
      <xdr:col>3</xdr:col>
      <xdr:colOff>2695575</xdr:colOff>
      <xdr:row>7</xdr:row>
      <xdr:rowOff>2552700</xdr:rowOff>
    </xdr:to>
    <xdr:graphicFrame macro="">
      <xdr:nvGraphicFramePr>
        <xdr:cNvPr id="1127473" name="Diagramm 1">
          <a:extLst>
            <a:ext uri="{FF2B5EF4-FFF2-40B4-BE49-F238E27FC236}">
              <a16:creationId xmlns:a16="http://schemas.microsoft.com/office/drawing/2014/main" id="{00000000-0008-0000-0100-000031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38100</xdr:colOff>
      <xdr:row>7</xdr:row>
      <xdr:rowOff>47625</xdr:rowOff>
    </xdr:from>
    <xdr:to>
      <xdr:col>4</xdr:col>
      <xdr:colOff>2686050</xdr:colOff>
      <xdr:row>7</xdr:row>
      <xdr:rowOff>2552700</xdr:rowOff>
    </xdr:to>
    <xdr:graphicFrame macro="">
      <xdr:nvGraphicFramePr>
        <xdr:cNvPr id="1127474" name="Diagramm 1">
          <a:extLst>
            <a:ext uri="{FF2B5EF4-FFF2-40B4-BE49-F238E27FC236}">
              <a16:creationId xmlns:a16="http://schemas.microsoft.com/office/drawing/2014/main" id="{00000000-0008-0000-0100-000032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28575</xdr:colOff>
      <xdr:row>10</xdr:row>
      <xdr:rowOff>38100</xdr:rowOff>
    </xdr:from>
    <xdr:to>
      <xdr:col>1</xdr:col>
      <xdr:colOff>2676525</xdr:colOff>
      <xdr:row>10</xdr:row>
      <xdr:rowOff>2543175</xdr:rowOff>
    </xdr:to>
    <xdr:graphicFrame macro="">
      <xdr:nvGraphicFramePr>
        <xdr:cNvPr id="1127475" name="Diagramm 1">
          <a:extLst>
            <a:ext uri="{FF2B5EF4-FFF2-40B4-BE49-F238E27FC236}">
              <a16:creationId xmlns:a16="http://schemas.microsoft.com/office/drawing/2014/main" id="{00000000-0008-0000-0100-000033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28575</xdr:colOff>
      <xdr:row>10</xdr:row>
      <xdr:rowOff>38100</xdr:rowOff>
    </xdr:from>
    <xdr:to>
      <xdr:col>2</xdr:col>
      <xdr:colOff>2676525</xdr:colOff>
      <xdr:row>10</xdr:row>
      <xdr:rowOff>2543175</xdr:rowOff>
    </xdr:to>
    <xdr:graphicFrame macro="">
      <xdr:nvGraphicFramePr>
        <xdr:cNvPr id="1127476" name="Diagramm 1">
          <a:extLst>
            <a:ext uri="{FF2B5EF4-FFF2-40B4-BE49-F238E27FC236}">
              <a16:creationId xmlns:a16="http://schemas.microsoft.com/office/drawing/2014/main" id="{00000000-0008-0000-0100-000034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47625</xdr:colOff>
      <xdr:row>10</xdr:row>
      <xdr:rowOff>38100</xdr:rowOff>
    </xdr:from>
    <xdr:to>
      <xdr:col>3</xdr:col>
      <xdr:colOff>2695575</xdr:colOff>
      <xdr:row>10</xdr:row>
      <xdr:rowOff>2543175</xdr:rowOff>
    </xdr:to>
    <xdr:graphicFrame macro="">
      <xdr:nvGraphicFramePr>
        <xdr:cNvPr id="1127477" name="Diagramm 1">
          <a:extLst>
            <a:ext uri="{FF2B5EF4-FFF2-40B4-BE49-F238E27FC236}">
              <a16:creationId xmlns:a16="http://schemas.microsoft.com/office/drawing/2014/main" id="{00000000-0008-0000-0100-000035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28575</xdr:colOff>
      <xdr:row>10</xdr:row>
      <xdr:rowOff>38100</xdr:rowOff>
    </xdr:from>
    <xdr:to>
      <xdr:col>4</xdr:col>
      <xdr:colOff>2676525</xdr:colOff>
      <xdr:row>10</xdr:row>
      <xdr:rowOff>2543175</xdr:rowOff>
    </xdr:to>
    <xdr:graphicFrame macro="">
      <xdr:nvGraphicFramePr>
        <xdr:cNvPr id="1127478" name="Diagramm 1">
          <a:extLst>
            <a:ext uri="{FF2B5EF4-FFF2-40B4-BE49-F238E27FC236}">
              <a16:creationId xmlns:a16="http://schemas.microsoft.com/office/drawing/2014/main" id="{00000000-0008-0000-0100-000036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38100</xdr:colOff>
      <xdr:row>13</xdr:row>
      <xdr:rowOff>38100</xdr:rowOff>
    </xdr:from>
    <xdr:to>
      <xdr:col>1</xdr:col>
      <xdr:colOff>2686050</xdr:colOff>
      <xdr:row>13</xdr:row>
      <xdr:rowOff>2543175</xdr:rowOff>
    </xdr:to>
    <xdr:graphicFrame macro="">
      <xdr:nvGraphicFramePr>
        <xdr:cNvPr id="1127479" name="Diagramm 1">
          <a:extLst>
            <a:ext uri="{FF2B5EF4-FFF2-40B4-BE49-F238E27FC236}">
              <a16:creationId xmlns:a16="http://schemas.microsoft.com/office/drawing/2014/main" id="{00000000-0008-0000-0100-000037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</xdr:col>
      <xdr:colOff>38100</xdr:colOff>
      <xdr:row>13</xdr:row>
      <xdr:rowOff>38100</xdr:rowOff>
    </xdr:from>
    <xdr:to>
      <xdr:col>2</xdr:col>
      <xdr:colOff>2686050</xdr:colOff>
      <xdr:row>13</xdr:row>
      <xdr:rowOff>2543175</xdr:rowOff>
    </xdr:to>
    <xdr:graphicFrame macro="">
      <xdr:nvGraphicFramePr>
        <xdr:cNvPr id="1127480" name="Diagramm 1">
          <a:extLst>
            <a:ext uri="{FF2B5EF4-FFF2-40B4-BE49-F238E27FC236}">
              <a16:creationId xmlns:a16="http://schemas.microsoft.com/office/drawing/2014/main" id="{00000000-0008-0000-0100-000038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</xdr:col>
      <xdr:colOff>28575</xdr:colOff>
      <xdr:row>13</xdr:row>
      <xdr:rowOff>38100</xdr:rowOff>
    </xdr:from>
    <xdr:to>
      <xdr:col>3</xdr:col>
      <xdr:colOff>2676525</xdr:colOff>
      <xdr:row>13</xdr:row>
      <xdr:rowOff>2543175</xdr:rowOff>
    </xdr:to>
    <xdr:graphicFrame macro="">
      <xdr:nvGraphicFramePr>
        <xdr:cNvPr id="1127481" name="Diagramm 1">
          <a:extLst>
            <a:ext uri="{FF2B5EF4-FFF2-40B4-BE49-F238E27FC236}">
              <a16:creationId xmlns:a16="http://schemas.microsoft.com/office/drawing/2014/main" id="{00000000-0008-0000-0100-000039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38100</xdr:colOff>
      <xdr:row>13</xdr:row>
      <xdr:rowOff>38100</xdr:rowOff>
    </xdr:from>
    <xdr:to>
      <xdr:col>4</xdr:col>
      <xdr:colOff>2686050</xdr:colOff>
      <xdr:row>13</xdr:row>
      <xdr:rowOff>2543175</xdr:rowOff>
    </xdr:to>
    <xdr:graphicFrame macro="">
      <xdr:nvGraphicFramePr>
        <xdr:cNvPr id="1127482" name="Diagramm 1">
          <a:extLst>
            <a:ext uri="{FF2B5EF4-FFF2-40B4-BE49-F238E27FC236}">
              <a16:creationId xmlns:a16="http://schemas.microsoft.com/office/drawing/2014/main" id="{00000000-0008-0000-0100-00003A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38100</xdr:colOff>
      <xdr:row>16</xdr:row>
      <xdr:rowOff>38100</xdr:rowOff>
    </xdr:from>
    <xdr:to>
      <xdr:col>1</xdr:col>
      <xdr:colOff>2686050</xdr:colOff>
      <xdr:row>16</xdr:row>
      <xdr:rowOff>2543175</xdr:rowOff>
    </xdr:to>
    <xdr:graphicFrame macro="">
      <xdr:nvGraphicFramePr>
        <xdr:cNvPr id="1127483" name="Diagramm 1">
          <a:extLst>
            <a:ext uri="{FF2B5EF4-FFF2-40B4-BE49-F238E27FC236}">
              <a16:creationId xmlns:a16="http://schemas.microsoft.com/office/drawing/2014/main" id="{00000000-0008-0000-0100-00003B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38100</xdr:colOff>
      <xdr:row>16</xdr:row>
      <xdr:rowOff>38100</xdr:rowOff>
    </xdr:from>
    <xdr:to>
      <xdr:col>2</xdr:col>
      <xdr:colOff>2686050</xdr:colOff>
      <xdr:row>16</xdr:row>
      <xdr:rowOff>2543175</xdr:rowOff>
    </xdr:to>
    <xdr:graphicFrame macro="">
      <xdr:nvGraphicFramePr>
        <xdr:cNvPr id="1127484" name="Diagramm 1">
          <a:extLst>
            <a:ext uri="{FF2B5EF4-FFF2-40B4-BE49-F238E27FC236}">
              <a16:creationId xmlns:a16="http://schemas.microsoft.com/office/drawing/2014/main" id="{00000000-0008-0000-0100-00003C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</xdr:col>
      <xdr:colOff>38100</xdr:colOff>
      <xdr:row>16</xdr:row>
      <xdr:rowOff>38100</xdr:rowOff>
    </xdr:from>
    <xdr:to>
      <xdr:col>3</xdr:col>
      <xdr:colOff>2686050</xdr:colOff>
      <xdr:row>16</xdr:row>
      <xdr:rowOff>2543175</xdr:rowOff>
    </xdr:to>
    <xdr:graphicFrame macro="">
      <xdr:nvGraphicFramePr>
        <xdr:cNvPr id="1127485" name="Diagramm 1">
          <a:extLst>
            <a:ext uri="{FF2B5EF4-FFF2-40B4-BE49-F238E27FC236}">
              <a16:creationId xmlns:a16="http://schemas.microsoft.com/office/drawing/2014/main" id="{00000000-0008-0000-0100-00003D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38100</xdr:colOff>
      <xdr:row>16</xdr:row>
      <xdr:rowOff>38100</xdr:rowOff>
    </xdr:from>
    <xdr:to>
      <xdr:col>4</xdr:col>
      <xdr:colOff>2686050</xdr:colOff>
      <xdr:row>16</xdr:row>
      <xdr:rowOff>2543175</xdr:rowOff>
    </xdr:to>
    <xdr:graphicFrame macro="">
      <xdr:nvGraphicFramePr>
        <xdr:cNvPr id="1127486" name="Diagramm 1">
          <a:extLst>
            <a:ext uri="{FF2B5EF4-FFF2-40B4-BE49-F238E27FC236}">
              <a16:creationId xmlns:a16="http://schemas.microsoft.com/office/drawing/2014/main" id="{00000000-0008-0000-0100-00003E34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38100</xdr:colOff>
      <xdr:row>19</xdr:row>
      <xdr:rowOff>38100</xdr:rowOff>
    </xdr:from>
    <xdr:to>
      <xdr:col>0</xdr:col>
      <xdr:colOff>2686050</xdr:colOff>
      <xdr:row>19</xdr:row>
      <xdr:rowOff>2543175</xdr:rowOff>
    </xdr:to>
    <xdr:graphicFrame macro="">
      <xdr:nvGraphicFramePr>
        <xdr:cNvPr id="34" name="Diagramm 1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38100</xdr:colOff>
      <xdr:row>19</xdr:row>
      <xdr:rowOff>38100</xdr:rowOff>
    </xdr:from>
    <xdr:to>
      <xdr:col>1</xdr:col>
      <xdr:colOff>2686050</xdr:colOff>
      <xdr:row>19</xdr:row>
      <xdr:rowOff>2543175</xdr:rowOff>
    </xdr:to>
    <xdr:graphicFrame macro="">
      <xdr:nvGraphicFramePr>
        <xdr:cNvPr id="35" name="Diagramm 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-IV_Graphs_KUSB_488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asurement"/>
      <sheetName val="VBR&amp;Ileak"/>
      <sheetName val="Graphs"/>
    </sheetNames>
    <sheetDataSet>
      <sheetData sheetId="0">
        <row r="15">
          <cell r="B15">
            <v>0</v>
          </cell>
        </row>
        <row r="36">
          <cell r="B36">
            <v>1</v>
          </cell>
        </row>
        <row r="41">
          <cell r="B41">
            <v>10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Larissa">
  <a:themeElements>
    <a:clrScheme name="W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E3000B"/>
      </a:accent1>
      <a:accent2>
        <a:srgbClr val="000000"/>
      </a:accent2>
      <a:accent3>
        <a:srgbClr val="B2B8B6"/>
      </a:accent3>
      <a:accent4>
        <a:srgbClr val="A0DAF7"/>
      </a:accent4>
      <a:accent5>
        <a:srgbClr val="008B39"/>
      </a:accent5>
      <a:accent6>
        <a:srgbClr val="F39100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BQ136"/>
  <sheetViews>
    <sheetView tabSelected="1" zoomScale="90" zoomScaleNormal="90" workbookViewId="0">
      <pane xSplit="2" ySplit="14" topLeftCell="C93" activePane="bottomRight" state="frozen"/>
      <selection pane="bottomRight" activeCell="BP106" sqref="BP106"/>
      <selection pane="bottomLeft" activeCell="A15" sqref="A15"/>
      <selection pane="topRight" activeCell="B1" sqref="B1"/>
    </sheetView>
  </sheetViews>
  <sheetFormatPr defaultColWidth="11.42578125" defaultRowHeight="12.75"/>
  <cols>
    <col min="1" max="1" width="8.7109375" customWidth="1"/>
    <col min="2" max="2" width="21" customWidth="1"/>
    <col min="3" max="3" width="11" bestFit="1" customWidth="1"/>
    <col min="4" max="4" width="11.5703125" bestFit="1" customWidth="1"/>
    <col min="5" max="17" width="10" customWidth="1"/>
  </cols>
  <sheetData>
    <row r="1" spans="1:69" ht="7.5" customHeight="1"/>
    <row r="2" spans="1:69" ht="27.75" customHeight="1">
      <c r="B2" s="2" t="str">
        <f>CONCATENATE("Measurement of I/V-Curves:   ",C3)</f>
        <v xml:space="preserve">Measurement of I/V-Curves:   </v>
      </c>
    </row>
    <row r="3" spans="1:69" ht="17.25" customHeight="1">
      <c r="B3" s="13" t="s">
        <v>0</v>
      </c>
      <c r="C3" s="96"/>
      <c r="D3" s="97"/>
      <c r="G3" s="90" t="s">
        <v>1</v>
      </c>
      <c r="H3" s="90"/>
      <c r="I3" s="16">
        <v>24</v>
      </c>
      <c r="J3" s="17"/>
      <c r="L3" s="6"/>
      <c r="U3" s="43" t="s">
        <v>2</v>
      </c>
    </row>
    <row r="4" spans="1:69" ht="17.25" customHeight="1">
      <c r="B4" s="13" t="s">
        <v>3</v>
      </c>
      <c r="C4" s="12"/>
      <c r="D4" s="14" t="s">
        <v>4</v>
      </c>
      <c r="G4" s="90" t="s">
        <v>5</v>
      </c>
      <c r="H4" s="90"/>
      <c r="I4" s="16" t="s">
        <v>6</v>
      </c>
      <c r="J4" s="17"/>
      <c r="P4" t="s">
        <v>7</v>
      </c>
      <c r="Q4">
        <f>C5*(1+C6/100)</f>
        <v>0</v>
      </c>
      <c r="U4" s="56" t="s">
        <v>8</v>
      </c>
      <c r="V4" s="56" t="s">
        <v>9</v>
      </c>
      <c r="W4" s="56" t="s">
        <v>10</v>
      </c>
    </row>
    <row r="5" spans="1:69" ht="17.25" customHeight="1">
      <c r="B5" s="13" t="s">
        <v>11</v>
      </c>
      <c r="C5" s="15"/>
      <c r="D5" s="14" t="s">
        <v>12</v>
      </c>
      <c r="G5" s="90" t="s">
        <v>13</v>
      </c>
      <c r="H5" s="90"/>
      <c r="I5" s="16" t="s">
        <v>14</v>
      </c>
      <c r="J5" s="17"/>
      <c r="L5" s="10">
        <f>C5-(1-C6/100)</f>
        <v>-1</v>
      </c>
      <c r="P5" t="s">
        <v>15</v>
      </c>
      <c r="Q5">
        <f>C5*(1-C6/100)</f>
        <v>0</v>
      </c>
      <c r="T5" s="58" t="s">
        <v>16</v>
      </c>
      <c r="U5" s="57" t="e">
        <f>(BO36-$C$5)/$C$5</f>
        <v>#DIV/0!</v>
      </c>
      <c r="V5" s="57" t="e">
        <f>(BP36-$C$5)/$C$5</f>
        <v>#DIV/0!</v>
      </c>
      <c r="W5" s="57" t="e">
        <f>(BQ36-$C$5)/$C$5</f>
        <v>#DIV/0!</v>
      </c>
    </row>
    <row r="6" spans="1:69" ht="17.25" customHeight="1">
      <c r="B6" s="13" t="s">
        <v>17</v>
      </c>
      <c r="C6" s="12"/>
      <c r="D6" s="14" t="s">
        <v>18</v>
      </c>
      <c r="G6" s="90" t="s">
        <v>19</v>
      </c>
      <c r="H6" s="90"/>
      <c r="I6" s="16" t="s">
        <v>20</v>
      </c>
      <c r="J6" s="17"/>
      <c r="L6" s="10">
        <f>C5+(1-C6/100)</f>
        <v>1</v>
      </c>
      <c r="T6" s="58" t="s">
        <v>21</v>
      </c>
      <c r="U6" s="57" t="e">
        <f>(BO68-$C$5)/$C$5</f>
        <v>#DIV/0!</v>
      </c>
      <c r="V6" s="57" t="e">
        <f>(BP68-$C$5)/$C$5</f>
        <v>#DIV/0!</v>
      </c>
      <c r="W6" s="57" t="e">
        <f>(BQ68-$C$5)/$C$5</f>
        <v>#DIV/0!</v>
      </c>
    </row>
    <row r="7" spans="1:69" ht="17.25" customHeight="1">
      <c r="B7" s="13" t="s">
        <v>22</v>
      </c>
      <c r="C7" s="12"/>
      <c r="D7" s="12" t="s">
        <v>23</v>
      </c>
      <c r="G7" s="90" t="s">
        <v>24</v>
      </c>
      <c r="H7" s="90"/>
      <c r="I7" s="16">
        <v>1</v>
      </c>
      <c r="J7" s="17"/>
    </row>
    <row r="8" spans="1:69" ht="17.25" customHeight="1">
      <c r="B8" s="13" t="s">
        <v>25</v>
      </c>
      <c r="C8" s="15"/>
      <c r="D8" s="14" t="s">
        <v>12</v>
      </c>
      <c r="G8" s="90" t="s">
        <v>26</v>
      </c>
      <c r="H8" s="90"/>
      <c r="I8" s="16">
        <v>3</v>
      </c>
      <c r="J8" s="17" t="str">
        <f>IF(I8=1,"off","times")</f>
        <v>times</v>
      </c>
    </row>
    <row r="9" spans="1:69" ht="17.25" customHeight="1">
      <c r="B9" s="18" t="s">
        <v>27</v>
      </c>
      <c r="C9" s="94" t="s">
        <v>28</v>
      </c>
      <c r="D9" s="95"/>
      <c r="G9" s="91" t="s">
        <v>29</v>
      </c>
      <c r="H9" s="91"/>
      <c r="I9" s="11">
        <v>1000</v>
      </c>
      <c r="J9" s="9" t="s">
        <v>12</v>
      </c>
    </row>
    <row r="10" spans="1:69" ht="17.25" customHeight="1">
      <c r="B10" s="18" t="s">
        <v>30</v>
      </c>
      <c r="C10" s="92"/>
      <c r="D10" s="93"/>
      <c r="H10" s="1"/>
    </row>
    <row r="11" spans="1:69" ht="15">
      <c r="B11" s="18" t="s">
        <v>31</v>
      </c>
      <c r="C11" s="94"/>
      <c r="D11" s="95"/>
      <c r="G11" s="85" t="s">
        <v>32</v>
      </c>
      <c r="H11" s="85"/>
      <c r="I11" s="84"/>
      <c r="J11" s="84"/>
      <c r="K11" s="84"/>
    </row>
    <row r="12" spans="1:69" ht="15">
      <c r="B12" s="4"/>
      <c r="G12" s="85" t="s">
        <v>33</v>
      </c>
      <c r="H12" s="85"/>
      <c r="I12" s="86"/>
      <c r="J12" s="87"/>
      <c r="K12" s="87"/>
    </row>
    <row r="13" spans="1:69" ht="15">
      <c r="B13" s="4"/>
      <c r="C13" s="88"/>
      <c r="D13" s="89"/>
      <c r="E13" s="88"/>
      <c r="F13" s="89"/>
      <c r="G13" s="88"/>
      <c r="H13" s="89"/>
      <c r="I13" s="88"/>
      <c r="J13" s="89"/>
      <c r="K13" s="88"/>
      <c r="L13" s="89"/>
      <c r="M13" s="88"/>
      <c r="N13" s="89"/>
      <c r="O13" s="3"/>
      <c r="P13" s="3"/>
      <c r="Q13" s="3"/>
    </row>
    <row r="14" spans="1:69" ht="30">
      <c r="A14" s="46" t="s">
        <v>34</v>
      </c>
      <c r="B14" s="26" t="s">
        <v>35</v>
      </c>
      <c r="C14" s="27" t="s">
        <v>36</v>
      </c>
      <c r="D14" s="28" t="s">
        <v>37</v>
      </c>
      <c r="E14" s="27" t="s">
        <v>38</v>
      </c>
      <c r="F14" s="28" t="s">
        <v>39</v>
      </c>
      <c r="G14" s="27" t="s">
        <v>40</v>
      </c>
      <c r="H14" s="28" t="s">
        <v>41</v>
      </c>
      <c r="I14" s="27" t="s">
        <v>42</v>
      </c>
      <c r="J14" s="28" t="s">
        <v>43</v>
      </c>
      <c r="K14" s="27" t="s">
        <v>44</v>
      </c>
      <c r="L14" s="28" t="s">
        <v>45</v>
      </c>
      <c r="M14" s="27" t="s">
        <v>46</v>
      </c>
      <c r="N14" s="28" t="s">
        <v>47</v>
      </c>
      <c r="O14" s="27" t="s">
        <v>48</v>
      </c>
      <c r="P14" s="28" t="s">
        <v>49</v>
      </c>
      <c r="Q14" s="27" t="s">
        <v>50</v>
      </c>
      <c r="R14" s="28" t="s">
        <v>51</v>
      </c>
      <c r="S14" s="27" t="s">
        <v>52</v>
      </c>
      <c r="T14" s="28" t="s">
        <v>53</v>
      </c>
      <c r="U14" s="27" t="s">
        <v>54</v>
      </c>
      <c r="V14" s="28" t="s">
        <v>55</v>
      </c>
      <c r="W14" s="27" t="s">
        <v>56</v>
      </c>
      <c r="X14" s="28" t="s">
        <v>57</v>
      </c>
      <c r="Y14" s="27" t="s">
        <v>58</v>
      </c>
      <c r="Z14" s="28" t="s">
        <v>59</v>
      </c>
      <c r="AA14" s="27" t="s">
        <v>60</v>
      </c>
      <c r="AB14" s="28" t="s">
        <v>61</v>
      </c>
      <c r="AC14" s="27" t="s">
        <v>62</v>
      </c>
      <c r="AD14" s="28" t="s">
        <v>63</v>
      </c>
      <c r="AE14" s="27" t="s">
        <v>64</v>
      </c>
      <c r="AF14" s="28" t="s">
        <v>65</v>
      </c>
      <c r="AG14" s="27" t="s">
        <v>66</v>
      </c>
      <c r="AH14" s="28" t="s">
        <v>67</v>
      </c>
      <c r="AI14" s="27" t="s">
        <v>68</v>
      </c>
      <c r="AJ14" s="28" t="s">
        <v>69</v>
      </c>
      <c r="AK14" s="27" t="s">
        <v>70</v>
      </c>
      <c r="AL14" s="28" t="s">
        <v>71</v>
      </c>
      <c r="AM14" s="27" t="s">
        <v>72</v>
      </c>
      <c r="AN14" s="28" t="s">
        <v>73</v>
      </c>
      <c r="AO14" s="27" t="s">
        <v>74</v>
      </c>
      <c r="AP14" s="28" t="s">
        <v>75</v>
      </c>
      <c r="AQ14" s="27" t="s">
        <v>76</v>
      </c>
      <c r="AR14" s="28" t="s">
        <v>77</v>
      </c>
      <c r="AS14" s="27" t="s">
        <v>78</v>
      </c>
      <c r="AT14" s="28" t="s">
        <v>79</v>
      </c>
      <c r="AU14" s="27" t="s">
        <v>80</v>
      </c>
      <c r="AV14" s="28" t="s">
        <v>81</v>
      </c>
      <c r="AW14" s="27" t="s">
        <v>82</v>
      </c>
      <c r="AX14" s="28" t="s">
        <v>83</v>
      </c>
      <c r="AY14" s="27" t="s">
        <v>84</v>
      </c>
      <c r="AZ14" s="28" t="s">
        <v>85</v>
      </c>
      <c r="BA14" s="27" t="s">
        <v>86</v>
      </c>
      <c r="BB14" s="28" t="s">
        <v>87</v>
      </c>
      <c r="BC14" s="27" t="s">
        <v>88</v>
      </c>
      <c r="BD14" s="28" t="s">
        <v>89</v>
      </c>
      <c r="BE14" s="27" t="s">
        <v>90</v>
      </c>
      <c r="BF14" s="28" t="s">
        <v>91</v>
      </c>
      <c r="BG14" s="27" t="s">
        <v>92</v>
      </c>
      <c r="BH14" s="28" t="s">
        <v>93</v>
      </c>
      <c r="BI14" s="27" t="s">
        <v>94</v>
      </c>
      <c r="BJ14" s="28" t="s">
        <v>95</v>
      </c>
      <c r="BK14" s="27" t="s">
        <v>96</v>
      </c>
      <c r="BL14" s="28" t="s">
        <v>97</v>
      </c>
      <c r="BM14" s="27" t="s">
        <v>98</v>
      </c>
      <c r="BN14" s="28" t="s">
        <v>99</v>
      </c>
      <c r="BO14" s="24" t="s">
        <v>100</v>
      </c>
      <c r="BP14" s="24" t="s">
        <v>101</v>
      </c>
      <c r="BQ14" s="24" t="s">
        <v>102</v>
      </c>
    </row>
    <row r="15" spans="1:69" ht="13.5" customHeight="1">
      <c r="A15" s="63">
        <v>1000</v>
      </c>
      <c r="B15" s="62">
        <f>$C$8</f>
        <v>0</v>
      </c>
      <c r="C15" s="81"/>
      <c r="D15" s="67"/>
      <c r="E15" s="81"/>
      <c r="F15" s="67"/>
      <c r="G15" s="67"/>
      <c r="H15" s="67"/>
      <c r="I15" s="67"/>
      <c r="J15" s="67"/>
      <c r="K15" s="67"/>
      <c r="L15" s="67"/>
      <c r="M15" s="67"/>
      <c r="N15" s="67"/>
      <c r="BO15" s="25">
        <f t="shared" ref="BO15" si="0">MIN(C15:BN15)</f>
        <v>0</v>
      </c>
      <c r="BP15" s="25" t="e">
        <f t="shared" ref="BP15" si="1">AVERAGE(C15:BN15)</f>
        <v>#DIV/0!</v>
      </c>
      <c r="BQ15" s="25">
        <f t="shared" ref="BQ15" si="2">MAX(C15:BN15)</f>
        <v>0</v>
      </c>
    </row>
    <row r="16" spans="1:69" ht="13.5" customHeight="1">
      <c r="A16" s="47">
        <v>2000</v>
      </c>
      <c r="B16" s="30">
        <v>1E-4</v>
      </c>
      <c r="BO16" s="25">
        <f t="shared" ref="BO16:BO44" si="3">MIN(C16:BN16)</f>
        <v>0</v>
      </c>
      <c r="BP16" s="25" t="e">
        <f t="shared" ref="BP16:BP44" si="4">AVERAGE(C16:BN16)</f>
        <v>#DIV/0!</v>
      </c>
      <c r="BQ16" s="25">
        <f t="shared" ref="BQ16:BQ44" si="5">MAX(C16:BN16)</f>
        <v>0</v>
      </c>
    </row>
    <row r="17" spans="1:69">
      <c r="A17" s="47">
        <v>1500</v>
      </c>
      <c r="B17" s="30">
        <v>2.0000000000000001E-4</v>
      </c>
      <c r="BO17" s="25">
        <f t="shared" si="3"/>
        <v>0</v>
      </c>
      <c r="BP17" s="25" t="e">
        <f t="shared" si="4"/>
        <v>#DIV/0!</v>
      </c>
      <c r="BQ17" s="25">
        <f t="shared" si="5"/>
        <v>0</v>
      </c>
    </row>
    <row r="18" spans="1:69">
      <c r="A18" s="47">
        <v>1000</v>
      </c>
      <c r="B18" s="30">
        <v>3.0000000000000003E-4</v>
      </c>
      <c r="BO18" s="25">
        <f t="shared" si="3"/>
        <v>0</v>
      </c>
      <c r="BP18" s="25" t="e">
        <f t="shared" si="4"/>
        <v>#DIV/0!</v>
      </c>
      <c r="BQ18" s="25">
        <f t="shared" si="5"/>
        <v>0</v>
      </c>
    </row>
    <row r="19" spans="1:69">
      <c r="A19" s="47">
        <v>1000</v>
      </c>
      <c r="B19" s="30">
        <v>5.0000000000000001E-4</v>
      </c>
      <c r="BO19" s="25">
        <f t="shared" si="3"/>
        <v>0</v>
      </c>
      <c r="BP19" s="25" t="e">
        <f t="shared" si="4"/>
        <v>#DIV/0!</v>
      </c>
      <c r="BQ19" s="25">
        <f t="shared" si="5"/>
        <v>0</v>
      </c>
    </row>
    <row r="20" spans="1:69">
      <c r="A20" s="47">
        <v>1000</v>
      </c>
      <c r="B20" s="30">
        <v>6.9999999999999999E-4</v>
      </c>
      <c r="BO20" s="25">
        <f t="shared" si="3"/>
        <v>0</v>
      </c>
      <c r="BP20" s="25" t="e">
        <f t="shared" si="4"/>
        <v>#DIV/0!</v>
      </c>
      <c r="BQ20" s="25">
        <f t="shared" si="5"/>
        <v>0</v>
      </c>
    </row>
    <row r="21" spans="1:69">
      <c r="A21" s="47">
        <v>1000</v>
      </c>
      <c r="B21" s="30">
        <f>B16*10</f>
        <v>1E-3</v>
      </c>
      <c r="BO21" s="25">
        <f t="shared" si="3"/>
        <v>0</v>
      </c>
      <c r="BP21" s="25" t="e">
        <f t="shared" si="4"/>
        <v>#DIV/0!</v>
      </c>
      <c r="BQ21" s="25">
        <f t="shared" si="5"/>
        <v>0</v>
      </c>
    </row>
    <row r="22" spans="1:69" ht="13.5" customHeight="1">
      <c r="A22" s="47">
        <v>500</v>
      </c>
      <c r="B22" s="30">
        <f t="shared" ref="B22:B39" si="6">B17*10</f>
        <v>2E-3</v>
      </c>
      <c r="BO22" s="25">
        <f t="shared" si="3"/>
        <v>0</v>
      </c>
      <c r="BP22" s="25" t="e">
        <f t="shared" si="4"/>
        <v>#DIV/0!</v>
      </c>
      <c r="BQ22" s="25">
        <f t="shared" si="5"/>
        <v>0</v>
      </c>
    </row>
    <row r="23" spans="1:69" ht="12.75" customHeight="1">
      <c r="A23" s="47">
        <v>300</v>
      </c>
      <c r="B23" s="30">
        <f t="shared" si="6"/>
        <v>3.0000000000000001E-3</v>
      </c>
      <c r="BO23" s="25">
        <f t="shared" si="3"/>
        <v>0</v>
      </c>
      <c r="BP23" s="25" t="e">
        <f t="shared" si="4"/>
        <v>#DIV/0!</v>
      </c>
      <c r="BQ23" s="25">
        <f t="shared" si="5"/>
        <v>0</v>
      </c>
    </row>
    <row r="24" spans="1:69" ht="13.5" customHeight="1">
      <c r="A24" s="47">
        <v>300</v>
      </c>
      <c r="B24" s="30">
        <f t="shared" si="6"/>
        <v>5.0000000000000001E-3</v>
      </c>
      <c r="BO24" s="25">
        <f t="shared" si="3"/>
        <v>0</v>
      </c>
      <c r="BP24" s="25" t="e">
        <f t="shared" si="4"/>
        <v>#DIV/0!</v>
      </c>
      <c r="BQ24" s="25">
        <f t="shared" si="5"/>
        <v>0</v>
      </c>
    </row>
    <row r="25" spans="1:69">
      <c r="A25" s="47">
        <v>300</v>
      </c>
      <c r="B25" s="30">
        <f t="shared" si="6"/>
        <v>7.0000000000000001E-3</v>
      </c>
      <c r="BO25" s="25">
        <f t="shared" si="3"/>
        <v>0</v>
      </c>
      <c r="BP25" s="25" t="e">
        <f t="shared" si="4"/>
        <v>#DIV/0!</v>
      </c>
      <c r="BQ25" s="25">
        <f t="shared" si="5"/>
        <v>0</v>
      </c>
    </row>
    <row r="26" spans="1:69">
      <c r="A26" s="47">
        <v>200</v>
      </c>
      <c r="B26" s="30">
        <f t="shared" si="6"/>
        <v>0.01</v>
      </c>
      <c r="BO26" s="25">
        <f t="shared" si="3"/>
        <v>0</v>
      </c>
      <c r="BP26" s="25" t="e">
        <f t="shared" si="4"/>
        <v>#DIV/0!</v>
      </c>
      <c r="BQ26" s="25">
        <f t="shared" si="5"/>
        <v>0</v>
      </c>
    </row>
    <row r="27" spans="1:69">
      <c r="A27" s="47">
        <v>200</v>
      </c>
      <c r="B27" s="30">
        <f t="shared" si="6"/>
        <v>0.02</v>
      </c>
      <c r="BO27" s="25">
        <f t="shared" si="3"/>
        <v>0</v>
      </c>
      <c r="BP27" s="25" t="e">
        <f t="shared" si="4"/>
        <v>#DIV/0!</v>
      </c>
      <c r="BQ27" s="25">
        <f t="shared" si="5"/>
        <v>0</v>
      </c>
    </row>
    <row r="28" spans="1:69">
      <c r="A28" s="47">
        <v>200</v>
      </c>
      <c r="B28" s="30">
        <f t="shared" si="6"/>
        <v>0.03</v>
      </c>
      <c r="BO28" s="25">
        <f t="shared" si="3"/>
        <v>0</v>
      </c>
      <c r="BP28" s="25" t="e">
        <f t="shared" si="4"/>
        <v>#DIV/0!</v>
      </c>
      <c r="BQ28" s="25">
        <f t="shared" si="5"/>
        <v>0</v>
      </c>
    </row>
    <row r="29" spans="1:69">
      <c r="A29" s="47">
        <v>200</v>
      </c>
      <c r="B29" s="30">
        <f t="shared" si="6"/>
        <v>0.05</v>
      </c>
      <c r="BO29" s="25">
        <f t="shared" si="3"/>
        <v>0</v>
      </c>
      <c r="BP29" s="25" t="e">
        <f t="shared" si="4"/>
        <v>#DIV/0!</v>
      </c>
      <c r="BQ29" s="25">
        <f t="shared" si="5"/>
        <v>0</v>
      </c>
    </row>
    <row r="30" spans="1:69">
      <c r="A30" s="47">
        <v>200</v>
      </c>
      <c r="B30" s="30">
        <f t="shared" si="6"/>
        <v>7.0000000000000007E-2</v>
      </c>
      <c r="BO30" s="25">
        <f t="shared" si="3"/>
        <v>0</v>
      </c>
      <c r="BP30" s="25" t="e">
        <f t="shared" si="4"/>
        <v>#DIV/0!</v>
      </c>
      <c r="BQ30" s="25">
        <f t="shared" si="5"/>
        <v>0</v>
      </c>
    </row>
    <row r="31" spans="1:69">
      <c r="A31" s="47">
        <v>200</v>
      </c>
      <c r="B31" s="30">
        <f t="shared" si="6"/>
        <v>0.1</v>
      </c>
      <c r="BO31" s="25">
        <f t="shared" si="3"/>
        <v>0</v>
      </c>
      <c r="BP31" s="25" t="e">
        <f t="shared" si="4"/>
        <v>#DIV/0!</v>
      </c>
      <c r="BQ31" s="25">
        <f t="shared" si="5"/>
        <v>0</v>
      </c>
    </row>
    <row r="32" spans="1:69">
      <c r="A32" s="47">
        <v>200</v>
      </c>
      <c r="B32" s="30">
        <f t="shared" si="6"/>
        <v>0.2</v>
      </c>
      <c r="BO32" s="25">
        <f t="shared" si="3"/>
        <v>0</v>
      </c>
      <c r="BP32" s="25" t="e">
        <f t="shared" si="4"/>
        <v>#DIV/0!</v>
      </c>
      <c r="BQ32" s="25">
        <f t="shared" si="5"/>
        <v>0</v>
      </c>
    </row>
    <row r="33" spans="1:69">
      <c r="A33" s="47">
        <v>200</v>
      </c>
      <c r="B33" s="30">
        <f t="shared" si="6"/>
        <v>0.3</v>
      </c>
      <c r="BO33" s="25">
        <f t="shared" si="3"/>
        <v>0</v>
      </c>
      <c r="BP33" s="25" t="e">
        <f t="shared" si="4"/>
        <v>#DIV/0!</v>
      </c>
      <c r="BQ33" s="25">
        <f t="shared" si="5"/>
        <v>0</v>
      </c>
    </row>
    <row r="34" spans="1:69">
      <c r="A34" s="47">
        <v>200</v>
      </c>
      <c r="B34" s="30">
        <f t="shared" si="6"/>
        <v>0.5</v>
      </c>
      <c r="BO34" s="25">
        <f t="shared" si="3"/>
        <v>0</v>
      </c>
      <c r="BP34" s="25" t="e">
        <f t="shared" si="4"/>
        <v>#DIV/0!</v>
      </c>
      <c r="BQ34" s="25">
        <f t="shared" si="5"/>
        <v>0</v>
      </c>
    </row>
    <row r="35" spans="1:69">
      <c r="A35" s="47">
        <v>200</v>
      </c>
      <c r="B35" s="30">
        <f t="shared" si="6"/>
        <v>0.70000000000000007</v>
      </c>
      <c r="BO35" s="25">
        <f t="shared" si="3"/>
        <v>0</v>
      </c>
      <c r="BP35" s="25" t="e">
        <f t="shared" si="4"/>
        <v>#DIV/0!</v>
      </c>
      <c r="BQ35" s="25">
        <f t="shared" si="5"/>
        <v>0</v>
      </c>
    </row>
    <row r="36" spans="1:69" s="43" customFormat="1">
      <c r="A36" s="48">
        <v>100</v>
      </c>
      <c r="B36" s="41">
        <f t="shared" si="6"/>
        <v>1</v>
      </c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 s="42">
        <f t="shared" si="3"/>
        <v>0</v>
      </c>
      <c r="BP36" s="42" t="e">
        <f t="shared" si="4"/>
        <v>#DIV/0!</v>
      </c>
      <c r="BQ36" s="42">
        <f t="shared" si="5"/>
        <v>0</v>
      </c>
    </row>
    <row r="37" spans="1:69">
      <c r="A37" s="47">
        <v>100</v>
      </c>
      <c r="B37" s="30">
        <f t="shared" si="6"/>
        <v>2</v>
      </c>
      <c r="BO37" s="25">
        <f t="shared" si="3"/>
        <v>0</v>
      </c>
      <c r="BP37" s="25" t="e">
        <f t="shared" si="4"/>
        <v>#DIV/0!</v>
      </c>
      <c r="BQ37" s="25">
        <f t="shared" si="5"/>
        <v>0</v>
      </c>
    </row>
    <row r="38" spans="1:69">
      <c r="A38" s="47">
        <v>100</v>
      </c>
      <c r="B38" s="30">
        <f t="shared" si="6"/>
        <v>3</v>
      </c>
      <c r="BO38" s="25">
        <f t="shared" si="3"/>
        <v>0</v>
      </c>
      <c r="BP38" s="25" t="e">
        <f t="shared" si="4"/>
        <v>#DIV/0!</v>
      </c>
      <c r="BQ38" s="25">
        <f t="shared" si="5"/>
        <v>0</v>
      </c>
    </row>
    <row r="39" spans="1:69">
      <c r="A39" s="47">
        <v>100</v>
      </c>
      <c r="B39" s="30">
        <f t="shared" si="6"/>
        <v>5</v>
      </c>
      <c r="BO39" s="25">
        <f t="shared" si="3"/>
        <v>0</v>
      </c>
      <c r="BP39" s="25" t="e">
        <f t="shared" si="4"/>
        <v>#DIV/0!</v>
      </c>
      <c r="BQ39" s="25">
        <f t="shared" si="5"/>
        <v>0</v>
      </c>
    </row>
    <row r="40" spans="1:69">
      <c r="A40" s="47">
        <v>100</v>
      </c>
      <c r="B40" s="30">
        <v>7</v>
      </c>
      <c r="BO40" s="25">
        <f t="shared" ref="BO40:BO44" si="7">MIN(C40:BN40)</f>
        <v>0</v>
      </c>
      <c r="BP40" s="25" t="e">
        <f t="shared" ref="BP40:BP44" si="8">AVERAGE(C40:BN40)</f>
        <v>#DIV/0!</v>
      </c>
      <c r="BQ40" s="25">
        <f t="shared" ref="BQ40:BQ44" si="9">MAX(C40:BN40)</f>
        <v>0</v>
      </c>
    </row>
    <row r="41" spans="1:69">
      <c r="A41" s="47">
        <v>50</v>
      </c>
      <c r="B41" s="30">
        <v>10</v>
      </c>
      <c r="BO41" s="25">
        <f t="shared" si="7"/>
        <v>0</v>
      </c>
      <c r="BP41" s="25" t="e">
        <f t="shared" si="8"/>
        <v>#DIV/0!</v>
      </c>
      <c r="BQ41" s="25">
        <f t="shared" si="9"/>
        <v>0</v>
      </c>
    </row>
    <row r="42" spans="1:69">
      <c r="A42" s="47">
        <v>50</v>
      </c>
      <c r="B42" s="30">
        <v>13</v>
      </c>
      <c r="BO42" s="25">
        <f t="shared" si="7"/>
        <v>0</v>
      </c>
      <c r="BP42" s="25" t="e">
        <f t="shared" si="8"/>
        <v>#DIV/0!</v>
      </c>
      <c r="BQ42" s="25">
        <f t="shared" si="9"/>
        <v>0</v>
      </c>
    </row>
    <row r="43" spans="1:69">
      <c r="A43" s="47">
        <v>50</v>
      </c>
      <c r="B43" s="30">
        <v>15</v>
      </c>
      <c r="BO43" s="25">
        <f t="shared" si="7"/>
        <v>0</v>
      </c>
      <c r="BP43" s="25" t="e">
        <f t="shared" si="8"/>
        <v>#DIV/0!</v>
      </c>
      <c r="BQ43" s="25">
        <f t="shared" si="9"/>
        <v>0</v>
      </c>
    </row>
    <row r="44" spans="1:69">
      <c r="A44" s="47">
        <v>50</v>
      </c>
      <c r="B44" s="30">
        <v>20</v>
      </c>
      <c r="BO44" s="25">
        <f t="shared" si="7"/>
        <v>0</v>
      </c>
      <c r="BP44" s="25" t="e">
        <f t="shared" si="8"/>
        <v>#DIV/0!</v>
      </c>
      <c r="BQ44" s="25">
        <f t="shared" si="9"/>
        <v>0</v>
      </c>
    </row>
    <row r="45" spans="1:69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69" ht="30">
      <c r="A46" s="46" t="s">
        <v>34</v>
      </c>
      <c r="B46" s="26" t="s">
        <v>103</v>
      </c>
      <c r="C46" s="49" t="str">
        <f t="shared" ref="C46:AH46" si="10">C14</f>
        <v>Part 1 Fwd</v>
      </c>
      <c r="D46" s="29" t="str">
        <f t="shared" si="10"/>
        <v>Part 1 Rev</v>
      </c>
      <c r="E46" s="49" t="str">
        <f t="shared" si="10"/>
        <v>Part 2 Fwd</v>
      </c>
      <c r="F46" s="29" t="str">
        <f t="shared" si="10"/>
        <v>Part 2 Rev</v>
      </c>
      <c r="G46" s="49" t="str">
        <f t="shared" si="10"/>
        <v>Part 3 Fwd</v>
      </c>
      <c r="H46" s="29" t="str">
        <f t="shared" si="10"/>
        <v>Part 3 Rev</v>
      </c>
      <c r="I46" s="49" t="str">
        <f t="shared" si="10"/>
        <v>Part 4 Fwd</v>
      </c>
      <c r="J46" s="29" t="str">
        <f t="shared" si="10"/>
        <v>Part 4 Rev</v>
      </c>
      <c r="K46" s="49" t="str">
        <f t="shared" si="10"/>
        <v>Part 5 Fwd</v>
      </c>
      <c r="L46" s="29" t="str">
        <f t="shared" si="10"/>
        <v>Part 5 Rev</v>
      </c>
      <c r="M46" s="49" t="str">
        <f t="shared" si="10"/>
        <v>Part 6 Fwd</v>
      </c>
      <c r="N46" s="29" t="str">
        <f t="shared" si="10"/>
        <v>Part 6 Rev</v>
      </c>
      <c r="O46" s="49" t="str">
        <f t="shared" si="10"/>
        <v>Part 7 Fwd</v>
      </c>
      <c r="P46" s="29" t="str">
        <f t="shared" si="10"/>
        <v>Part 7 Rev</v>
      </c>
      <c r="Q46" s="49" t="str">
        <f t="shared" si="10"/>
        <v>Part 8 Fwd</v>
      </c>
      <c r="R46" s="29" t="str">
        <f t="shared" si="10"/>
        <v>Part 8 Rev</v>
      </c>
      <c r="S46" s="49" t="str">
        <f t="shared" si="10"/>
        <v>Part 9 Fwd</v>
      </c>
      <c r="T46" s="29" t="str">
        <f t="shared" si="10"/>
        <v>Part 9 Rev</v>
      </c>
      <c r="U46" s="49" t="str">
        <f t="shared" si="10"/>
        <v>Part 10 Fwd</v>
      </c>
      <c r="V46" s="29" t="str">
        <f t="shared" si="10"/>
        <v>Part 10 Rev</v>
      </c>
      <c r="W46" s="49" t="str">
        <f t="shared" si="10"/>
        <v>Part 11 Fwd</v>
      </c>
      <c r="X46" s="29" t="str">
        <f t="shared" si="10"/>
        <v>Part 11 Rev</v>
      </c>
      <c r="Y46" s="49" t="str">
        <f t="shared" si="10"/>
        <v>Part 12 Fwd</v>
      </c>
      <c r="Z46" s="29" t="str">
        <f t="shared" si="10"/>
        <v>Part 12 Rev</v>
      </c>
      <c r="AA46" s="49" t="str">
        <f t="shared" si="10"/>
        <v>Part 13 Fwd</v>
      </c>
      <c r="AB46" s="29" t="str">
        <f t="shared" si="10"/>
        <v>Part 13 Rev</v>
      </c>
      <c r="AC46" s="49" t="str">
        <f t="shared" si="10"/>
        <v>Part 14 Fwd</v>
      </c>
      <c r="AD46" s="29" t="str">
        <f t="shared" si="10"/>
        <v>Part 14 Rev</v>
      </c>
      <c r="AE46" s="49" t="str">
        <f t="shared" si="10"/>
        <v>Part 15 Fwd</v>
      </c>
      <c r="AF46" s="29" t="str">
        <f t="shared" si="10"/>
        <v>Part 15 Rev</v>
      </c>
      <c r="AG46" s="49" t="str">
        <f t="shared" si="10"/>
        <v>Part 16 Fwd</v>
      </c>
      <c r="AH46" s="29" t="str">
        <f t="shared" si="10"/>
        <v>Part 16 Rev</v>
      </c>
      <c r="AI46" s="49" t="str">
        <f t="shared" ref="AI46:BN46" si="11">AI14</f>
        <v>Part 17 Fwd</v>
      </c>
      <c r="AJ46" s="29" t="str">
        <f t="shared" si="11"/>
        <v>Part 17 Rev</v>
      </c>
      <c r="AK46" s="49" t="str">
        <f t="shared" si="11"/>
        <v>Part 18 Fwd</v>
      </c>
      <c r="AL46" s="29" t="str">
        <f t="shared" si="11"/>
        <v>Part 18 Rev</v>
      </c>
      <c r="AM46" s="49" t="str">
        <f t="shared" si="11"/>
        <v>Part 19 Fwd</v>
      </c>
      <c r="AN46" s="29" t="str">
        <f t="shared" si="11"/>
        <v>Part 19 Rev</v>
      </c>
      <c r="AO46" s="49" t="str">
        <f t="shared" si="11"/>
        <v>Part 20 Fwd</v>
      </c>
      <c r="AP46" s="29" t="str">
        <f t="shared" si="11"/>
        <v>Part 20 Rev</v>
      </c>
      <c r="AQ46" s="49" t="str">
        <f t="shared" si="11"/>
        <v>Part 21 Fwd</v>
      </c>
      <c r="AR46" s="29" t="str">
        <f t="shared" si="11"/>
        <v>Part 21 Rev</v>
      </c>
      <c r="AS46" s="49" t="str">
        <f t="shared" si="11"/>
        <v>Part 22 Fwd</v>
      </c>
      <c r="AT46" s="29" t="str">
        <f t="shared" si="11"/>
        <v>Part 22 Rev</v>
      </c>
      <c r="AU46" s="49" t="str">
        <f t="shared" si="11"/>
        <v>Part 23 Fwd</v>
      </c>
      <c r="AV46" s="29" t="str">
        <f t="shared" si="11"/>
        <v>Part 23 Rev</v>
      </c>
      <c r="AW46" s="49" t="str">
        <f t="shared" si="11"/>
        <v>Part 24 Fwd</v>
      </c>
      <c r="AX46" s="29" t="str">
        <f t="shared" si="11"/>
        <v>Part 24 Rev</v>
      </c>
      <c r="AY46" s="49" t="str">
        <f t="shared" si="11"/>
        <v>Part 25 Fwd</v>
      </c>
      <c r="AZ46" s="29" t="str">
        <f t="shared" si="11"/>
        <v>Part 25 Rev</v>
      </c>
      <c r="BA46" s="49" t="str">
        <f t="shared" si="11"/>
        <v>Part 26 Fwd</v>
      </c>
      <c r="BB46" s="29" t="str">
        <f t="shared" si="11"/>
        <v>Part 26 Rev</v>
      </c>
      <c r="BC46" s="49" t="str">
        <f t="shared" si="11"/>
        <v>Part 27 Fwd</v>
      </c>
      <c r="BD46" s="29" t="str">
        <f t="shared" si="11"/>
        <v>Part 27 Rev</v>
      </c>
      <c r="BE46" s="49" t="str">
        <f t="shared" si="11"/>
        <v>Part 28 Fwd</v>
      </c>
      <c r="BF46" s="29" t="str">
        <f t="shared" si="11"/>
        <v>Part 28 Rev</v>
      </c>
      <c r="BG46" s="49" t="str">
        <f t="shared" si="11"/>
        <v>Part 29 Fwd</v>
      </c>
      <c r="BH46" s="29" t="str">
        <f t="shared" si="11"/>
        <v>Part 29 Rev</v>
      </c>
      <c r="BI46" s="49" t="str">
        <f t="shared" si="11"/>
        <v>Part 30 Fwd</v>
      </c>
      <c r="BJ46" s="29" t="str">
        <f t="shared" si="11"/>
        <v>Part 30 Rev</v>
      </c>
      <c r="BK46" s="49" t="str">
        <f t="shared" si="11"/>
        <v>Part 31 Fwd</v>
      </c>
      <c r="BL46" s="29" t="str">
        <f t="shared" si="11"/>
        <v>Part 31 Rev</v>
      </c>
      <c r="BM46" s="49" t="str">
        <f t="shared" si="11"/>
        <v>Part 32 Fwd</v>
      </c>
      <c r="BN46" s="29" t="str">
        <f t="shared" si="11"/>
        <v>Part 32 Rev</v>
      </c>
      <c r="BO46" s="24" t="s">
        <v>100</v>
      </c>
      <c r="BP46" s="24" t="s">
        <v>101</v>
      </c>
      <c r="BQ46" s="24" t="s">
        <v>102</v>
      </c>
    </row>
    <row r="47" spans="1:69" ht="13.5" customHeight="1">
      <c r="A47" s="63">
        <v>1000</v>
      </c>
      <c r="B47" s="62">
        <f>$C$8</f>
        <v>0</v>
      </c>
      <c r="C47" s="82"/>
      <c r="D47" s="66"/>
      <c r="E47" s="81"/>
      <c r="F47" s="66"/>
      <c r="G47" s="67"/>
      <c r="H47" s="66"/>
      <c r="I47" s="67"/>
      <c r="J47" s="66"/>
      <c r="K47" s="67"/>
      <c r="L47" s="66"/>
      <c r="M47" s="67"/>
      <c r="N47" s="66"/>
      <c r="O47" s="67"/>
      <c r="P47" s="66"/>
      <c r="Q47" s="67"/>
      <c r="R47" s="66"/>
      <c r="S47" s="67"/>
      <c r="T47" s="66"/>
      <c r="U47" s="67"/>
      <c r="V47" s="66"/>
      <c r="W47" s="67"/>
      <c r="X47" s="66"/>
      <c r="Y47" s="67"/>
      <c r="Z47" s="66"/>
      <c r="AA47" s="67"/>
      <c r="AB47" s="66"/>
      <c r="AC47" s="67"/>
      <c r="AD47" s="66"/>
      <c r="AE47" s="67"/>
      <c r="AF47" s="66"/>
      <c r="AG47" s="67"/>
      <c r="AH47" s="66"/>
      <c r="AI47" s="67"/>
      <c r="AJ47" s="66"/>
      <c r="AK47" s="67"/>
      <c r="AL47" s="66"/>
      <c r="AM47" s="67"/>
      <c r="AN47" s="66"/>
      <c r="AO47" s="67"/>
      <c r="AP47" s="66"/>
      <c r="AQ47" s="67"/>
      <c r="AR47" s="66"/>
      <c r="AS47" s="67"/>
      <c r="AT47" s="66"/>
      <c r="AU47" s="67"/>
      <c r="AV47" s="66"/>
      <c r="AW47" s="67"/>
      <c r="AX47" s="66"/>
      <c r="AY47" s="67"/>
      <c r="AZ47" s="66"/>
      <c r="BA47" s="67"/>
      <c r="BB47" s="66"/>
      <c r="BC47" s="67"/>
      <c r="BD47" s="66"/>
      <c r="BE47" s="67"/>
      <c r="BF47" s="66"/>
      <c r="BG47" s="67"/>
      <c r="BH47" s="66"/>
      <c r="BI47" s="67"/>
      <c r="BJ47" s="66"/>
      <c r="BK47" s="67"/>
      <c r="BL47" s="66"/>
      <c r="BM47" s="67"/>
      <c r="BN47" s="68"/>
      <c r="BO47" s="25">
        <f t="shared" ref="BO47" si="12">MIN(C47:BN47)</f>
        <v>0</v>
      </c>
      <c r="BP47" s="25" t="e">
        <f t="shared" ref="BP47" si="13">AVERAGE(C47:BN47)</f>
        <v>#DIV/0!</v>
      </c>
      <c r="BQ47" s="25">
        <f t="shared" ref="BQ47" si="14">MAX(C47:BN47)</f>
        <v>0</v>
      </c>
    </row>
    <row r="48" spans="1:69">
      <c r="A48" s="47">
        <f>A16</f>
        <v>2000</v>
      </c>
      <c r="B48" s="30">
        <v>1E-4</v>
      </c>
      <c r="C48" s="19"/>
      <c r="D48" s="20"/>
      <c r="E48" s="5"/>
      <c r="F48" s="20"/>
      <c r="G48" s="5"/>
      <c r="H48" s="20"/>
      <c r="I48" s="5"/>
      <c r="J48" s="20"/>
      <c r="K48" s="5"/>
      <c r="L48" s="20"/>
      <c r="M48" s="5"/>
      <c r="N48" s="20"/>
      <c r="O48" s="5"/>
      <c r="P48" s="20"/>
      <c r="Q48" s="5"/>
      <c r="R48" s="20"/>
      <c r="S48" s="5"/>
      <c r="T48" s="20"/>
      <c r="U48" s="5"/>
      <c r="V48" s="20"/>
      <c r="W48" s="5"/>
      <c r="X48" s="20"/>
      <c r="Y48" s="5"/>
      <c r="Z48" s="20"/>
      <c r="AA48" s="5"/>
      <c r="AB48" s="20"/>
      <c r="AC48" s="5"/>
      <c r="AD48" s="20"/>
      <c r="AE48" s="5"/>
      <c r="AF48" s="20"/>
      <c r="AG48" s="5"/>
      <c r="AH48" s="20"/>
      <c r="AI48" s="5"/>
      <c r="AJ48" s="20"/>
      <c r="AK48" s="5"/>
      <c r="AL48" s="20"/>
      <c r="AM48" s="5"/>
      <c r="AN48" s="20"/>
      <c r="AO48" s="5"/>
      <c r="AP48" s="20"/>
      <c r="AQ48" s="5"/>
      <c r="AR48" s="20"/>
      <c r="AS48" s="5"/>
      <c r="AT48" s="20"/>
      <c r="AU48" s="5"/>
      <c r="AV48" s="20"/>
      <c r="AW48" s="5"/>
      <c r="AX48" s="20"/>
      <c r="AY48" s="5"/>
      <c r="AZ48" s="20"/>
      <c r="BA48" s="5"/>
      <c r="BB48" s="20"/>
      <c r="BC48" s="5"/>
      <c r="BD48" s="20"/>
      <c r="BE48" s="5"/>
      <c r="BF48" s="20"/>
      <c r="BG48" s="5"/>
      <c r="BH48" s="20"/>
      <c r="BI48" s="5"/>
      <c r="BJ48" s="20"/>
      <c r="BK48" s="5"/>
      <c r="BL48" s="20"/>
      <c r="BM48" s="5"/>
      <c r="BN48" s="21"/>
      <c r="BO48" s="25">
        <f t="shared" ref="BO48:BO76" si="15">MIN(C48:BN48)</f>
        <v>0</v>
      </c>
      <c r="BP48" s="25" t="e">
        <f t="shared" ref="BP48:BP76" si="16">AVERAGE(C48:BN48)</f>
        <v>#DIV/0!</v>
      </c>
      <c r="BQ48" s="25">
        <f t="shared" ref="BQ48:BQ76" si="17">MAX(C48:BN48)</f>
        <v>0</v>
      </c>
    </row>
    <row r="49" spans="1:69">
      <c r="A49" s="47">
        <f>A17</f>
        <v>1500</v>
      </c>
      <c r="B49" s="30">
        <v>2.0000000000000001E-4</v>
      </c>
      <c r="C49" s="19"/>
      <c r="D49" s="20"/>
      <c r="E49" s="5"/>
      <c r="F49" s="20"/>
      <c r="G49" s="5"/>
      <c r="H49" s="20"/>
      <c r="I49" s="5"/>
      <c r="J49" s="20"/>
      <c r="K49" s="5"/>
      <c r="L49" s="20"/>
      <c r="M49" s="5"/>
      <c r="N49" s="20"/>
      <c r="O49" s="5"/>
      <c r="P49" s="20"/>
      <c r="Q49" s="5"/>
      <c r="R49" s="20"/>
      <c r="S49" s="5"/>
      <c r="T49" s="20"/>
      <c r="U49" s="5"/>
      <c r="V49" s="20"/>
      <c r="W49" s="5"/>
      <c r="X49" s="20"/>
      <c r="Y49" s="5"/>
      <c r="Z49" s="20"/>
      <c r="AA49" s="5"/>
      <c r="AB49" s="20"/>
      <c r="AC49" s="5"/>
      <c r="AD49" s="20"/>
      <c r="AE49" s="5"/>
      <c r="AF49" s="20"/>
      <c r="AG49" s="5"/>
      <c r="AH49" s="20"/>
      <c r="AI49" s="5"/>
      <c r="AJ49" s="20"/>
      <c r="AK49" s="5"/>
      <c r="AL49" s="20"/>
      <c r="AM49" s="5"/>
      <c r="AN49" s="20"/>
      <c r="AO49" s="5"/>
      <c r="AP49" s="20"/>
      <c r="AQ49" s="5"/>
      <c r="AR49" s="20"/>
      <c r="AS49" s="5"/>
      <c r="AT49" s="20"/>
      <c r="AU49" s="5"/>
      <c r="AV49" s="20"/>
      <c r="AW49" s="5"/>
      <c r="AX49" s="20"/>
      <c r="AY49" s="5"/>
      <c r="AZ49" s="20"/>
      <c r="BA49" s="5"/>
      <c r="BB49" s="20"/>
      <c r="BC49" s="5"/>
      <c r="BD49" s="20"/>
      <c r="BE49" s="5"/>
      <c r="BF49" s="20"/>
      <c r="BG49" s="5"/>
      <c r="BH49" s="20"/>
      <c r="BI49" s="5"/>
      <c r="BJ49" s="20"/>
      <c r="BK49" s="5"/>
      <c r="BL49" s="20"/>
      <c r="BM49" s="5"/>
      <c r="BN49" s="21"/>
      <c r="BO49" s="25">
        <f t="shared" si="15"/>
        <v>0</v>
      </c>
      <c r="BP49" s="25" t="e">
        <f t="shared" si="16"/>
        <v>#DIV/0!</v>
      </c>
      <c r="BQ49" s="25">
        <f t="shared" si="17"/>
        <v>0</v>
      </c>
    </row>
    <row r="50" spans="1:69">
      <c r="A50" s="47">
        <f>A18</f>
        <v>1000</v>
      </c>
      <c r="B50" s="30">
        <v>3.0000000000000003E-4</v>
      </c>
      <c r="C50" s="19"/>
      <c r="D50" s="20"/>
      <c r="E50" s="5"/>
      <c r="F50" s="20"/>
      <c r="G50" s="5"/>
      <c r="H50" s="20"/>
      <c r="I50" s="5"/>
      <c r="J50" s="20"/>
      <c r="K50" s="5"/>
      <c r="L50" s="20"/>
      <c r="M50" s="5"/>
      <c r="N50" s="20"/>
      <c r="O50" s="5"/>
      <c r="P50" s="20"/>
      <c r="Q50" s="5"/>
      <c r="R50" s="20"/>
      <c r="S50" s="5"/>
      <c r="T50" s="20"/>
      <c r="U50" s="5"/>
      <c r="V50" s="20"/>
      <c r="W50" s="5"/>
      <c r="X50" s="20"/>
      <c r="Y50" s="5"/>
      <c r="Z50" s="20"/>
      <c r="AA50" s="5"/>
      <c r="AB50" s="20"/>
      <c r="AC50" s="5"/>
      <c r="AD50" s="20"/>
      <c r="AE50" s="5"/>
      <c r="AF50" s="20"/>
      <c r="AG50" s="5"/>
      <c r="AH50" s="20"/>
      <c r="AI50" s="5"/>
      <c r="AJ50" s="20"/>
      <c r="AK50" s="5"/>
      <c r="AL50" s="20"/>
      <c r="AM50" s="5"/>
      <c r="AN50" s="20"/>
      <c r="AO50" s="5"/>
      <c r="AP50" s="20"/>
      <c r="AQ50" s="5"/>
      <c r="AR50" s="20"/>
      <c r="AS50" s="5"/>
      <c r="AT50" s="20"/>
      <c r="AU50" s="5"/>
      <c r="AV50" s="20"/>
      <c r="AW50" s="5"/>
      <c r="AX50" s="20"/>
      <c r="AY50" s="5"/>
      <c r="AZ50" s="20"/>
      <c r="BA50" s="5"/>
      <c r="BB50" s="20"/>
      <c r="BC50" s="5"/>
      <c r="BD50" s="20"/>
      <c r="BE50" s="5"/>
      <c r="BF50" s="20"/>
      <c r="BG50" s="5"/>
      <c r="BH50" s="20"/>
      <c r="BI50" s="5"/>
      <c r="BJ50" s="20"/>
      <c r="BK50" s="5"/>
      <c r="BL50" s="20"/>
      <c r="BM50" s="5"/>
      <c r="BN50" s="21"/>
      <c r="BO50" s="25">
        <f t="shared" si="15"/>
        <v>0</v>
      </c>
      <c r="BP50" s="25" t="e">
        <f t="shared" si="16"/>
        <v>#DIV/0!</v>
      </c>
      <c r="BQ50" s="25">
        <f t="shared" si="17"/>
        <v>0</v>
      </c>
    </row>
    <row r="51" spans="1:69">
      <c r="A51" s="47">
        <f>A19</f>
        <v>1000</v>
      </c>
      <c r="B51" s="30">
        <v>5.0000000000000001E-4</v>
      </c>
      <c r="C51" s="19"/>
      <c r="D51" s="20"/>
      <c r="E51" s="5"/>
      <c r="F51" s="20"/>
      <c r="G51" s="5"/>
      <c r="H51" s="20"/>
      <c r="I51" s="5"/>
      <c r="J51" s="20"/>
      <c r="K51" s="5"/>
      <c r="L51" s="20"/>
      <c r="M51" s="5"/>
      <c r="N51" s="20"/>
      <c r="O51" s="5"/>
      <c r="P51" s="20"/>
      <c r="Q51" s="5"/>
      <c r="R51" s="20"/>
      <c r="S51" s="5"/>
      <c r="T51" s="20"/>
      <c r="U51" s="5"/>
      <c r="V51" s="20"/>
      <c r="W51" s="5"/>
      <c r="X51" s="20"/>
      <c r="Y51" s="5"/>
      <c r="Z51" s="20"/>
      <c r="AA51" s="5"/>
      <c r="AB51" s="20"/>
      <c r="AC51" s="5"/>
      <c r="AD51" s="20"/>
      <c r="AE51" s="5"/>
      <c r="AF51" s="20"/>
      <c r="AG51" s="5"/>
      <c r="AH51" s="20"/>
      <c r="AI51" s="5"/>
      <c r="AJ51" s="20"/>
      <c r="AK51" s="5"/>
      <c r="AL51" s="20"/>
      <c r="AM51" s="5"/>
      <c r="AN51" s="20"/>
      <c r="AO51" s="5"/>
      <c r="AP51" s="20"/>
      <c r="AQ51" s="5"/>
      <c r="AR51" s="20"/>
      <c r="AS51" s="5"/>
      <c r="AT51" s="20"/>
      <c r="AU51" s="5"/>
      <c r="AV51" s="20"/>
      <c r="AW51" s="5"/>
      <c r="AX51" s="20"/>
      <c r="AY51" s="5"/>
      <c r="AZ51" s="20"/>
      <c r="BA51" s="5"/>
      <c r="BB51" s="20"/>
      <c r="BC51" s="5"/>
      <c r="BD51" s="20"/>
      <c r="BE51" s="5"/>
      <c r="BF51" s="20"/>
      <c r="BG51" s="5"/>
      <c r="BH51" s="20"/>
      <c r="BI51" s="5"/>
      <c r="BJ51" s="20"/>
      <c r="BK51" s="5"/>
      <c r="BL51" s="20"/>
      <c r="BM51" s="5"/>
      <c r="BN51" s="21"/>
      <c r="BO51" s="25">
        <f t="shared" si="15"/>
        <v>0</v>
      </c>
      <c r="BP51" s="25" t="e">
        <f t="shared" si="16"/>
        <v>#DIV/0!</v>
      </c>
      <c r="BQ51" s="25">
        <f t="shared" si="17"/>
        <v>0</v>
      </c>
    </row>
    <row r="52" spans="1:69">
      <c r="A52" s="47">
        <f>A20</f>
        <v>1000</v>
      </c>
      <c r="B52" s="30">
        <v>6.9999999999999999E-4</v>
      </c>
      <c r="C52" s="5"/>
      <c r="D52" s="20"/>
      <c r="E52" s="5"/>
      <c r="F52" s="20"/>
      <c r="G52" s="5"/>
      <c r="H52" s="20"/>
      <c r="I52" s="5"/>
      <c r="J52" s="20"/>
      <c r="K52" s="5"/>
      <c r="L52" s="20"/>
      <c r="M52" s="5"/>
      <c r="N52" s="20"/>
      <c r="O52" s="5"/>
      <c r="P52" s="20"/>
      <c r="Q52" s="5"/>
      <c r="R52" s="20"/>
      <c r="S52" s="5"/>
      <c r="T52" s="20"/>
      <c r="U52" s="5"/>
      <c r="V52" s="20"/>
      <c r="W52" s="5"/>
      <c r="X52" s="20"/>
      <c r="Y52" s="5"/>
      <c r="Z52" s="20"/>
      <c r="AA52" s="5"/>
      <c r="AB52" s="20"/>
      <c r="AC52" s="5"/>
      <c r="AD52" s="20"/>
      <c r="AE52" s="5"/>
      <c r="AF52" s="20"/>
      <c r="AG52" s="5"/>
      <c r="AH52" s="20"/>
      <c r="AI52" s="5"/>
      <c r="AJ52" s="20"/>
      <c r="AK52" s="5"/>
      <c r="AL52" s="20"/>
      <c r="AM52" s="5"/>
      <c r="AN52" s="20"/>
      <c r="AO52" s="5"/>
      <c r="AP52" s="20"/>
      <c r="AQ52" s="5"/>
      <c r="AR52" s="20"/>
      <c r="AS52" s="5"/>
      <c r="AT52" s="20"/>
      <c r="AU52" s="5"/>
      <c r="AV52" s="20"/>
      <c r="AW52" s="5"/>
      <c r="AX52" s="20"/>
      <c r="AY52" s="5"/>
      <c r="AZ52" s="20"/>
      <c r="BA52" s="5"/>
      <c r="BB52" s="20"/>
      <c r="BC52" s="5"/>
      <c r="BD52" s="20"/>
      <c r="BE52" s="5"/>
      <c r="BF52" s="20"/>
      <c r="BG52" s="5"/>
      <c r="BH52" s="20"/>
      <c r="BI52" s="5"/>
      <c r="BJ52" s="20"/>
      <c r="BK52" s="5"/>
      <c r="BL52" s="20"/>
      <c r="BM52" s="5"/>
      <c r="BN52" s="21"/>
      <c r="BO52" s="25">
        <f t="shared" si="15"/>
        <v>0</v>
      </c>
      <c r="BP52" s="25" t="e">
        <f t="shared" si="16"/>
        <v>#DIV/0!</v>
      </c>
      <c r="BQ52" s="25">
        <f t="shared" si="17"/>
        <v>0</v>
      </c>
    </row>
    <row r="53" spans="1:69">
      <c r="A53" s="47">
        <f>A21</f>
        <v>1000</v>
      </c>
      <c r="B53" s="30">
        <f t="shared" ref="B53:B71" si="18">B48*10</f>
        <v>1E-3</v>
      </c>
      <c r="C53" s="19"/>
      <c r="D53" s="20"/>
      <c r="E53" s="5"/>
      <c r="F53" s="20"/>
      <c r="G53" s="5"/>
      <c r="H53" s="20"/>
      <c r="I53" s="5"/>
      <c r="J53" s="20"/>
      <c r="K53" s="5"/>
      <c r="L53" s="20"/>
      <c r="M53" s="5"/>
      <c r="N53" s="20"/>
      <c r="O53" s="5"/>
      <c r="P53" s="20"/>
      <c r="Q53" s="5"/>
      <c r="R53" s="20"/>
      <c r="S53" s="5"/>
      <c r="T53" s="20"/>
      <c r="U53" s="5"/>
      <c r="V53" s="20"/>
      <c r="W53" s="5"/>
      <c r="X53" s="20"/>
      <c r="Y53" s="5"/>
      <c r="Z53" s="20"/>
      <c r="AA53" s="5"/>
      <c r="AB53" s="20"/>
      <c r="AC53" s="5"/>
      <c r="AD53" s="20"/>
      <c r="AE53" s="5"/>
      <c r="AF53" s="20"/>
      <c r="AG53" s="5"/>
      <c r="AH53" s="20"/>
      <c r="AI53" s="5"/>
      <c r="AJ53" s="20"/>
      <c r="AK53" s="5"/>
      <c r="AL53" s="20"/>
      <c r="AM53" s="5"/>
      <c r="AN53" s="20"/>
      <c r="AO53" s="5"/>
      <c r="AP53" s="20"/>
      <c r="AQ53" s="5"/>
      <c r="AR53" s="20"/>
      <c r="AS53" s="5"/>
      <c r="AT53" s="20"/>
      <c r="AU53" s="5"/>
      <c r="AV53" s="20"/>
      <c r="AW53" s="5"/>
      <c r="AX53" s="20"/>
      <c r="AY53" s="5"/>
      <c r="AZ53" s="20"/>
      <c r="BA53" s="5"/>
      <c r="BB53" s="20"/>
      <c r="BC53" s="5"/>
      <c r="BD53" s="20"/>
      <c r="BE53" s="5"/>
      <c r="BF53" s="20"/>
      <c r="BG53" s="5"/>
      <c r="BH53" s="20"/>
      <c r="BI53" s="5"/>
      <c r="BJ53" s="20"/>
      <c r="BK53" s="5"/>
      <c r="BL53" s="20"/>
      <c r="BM53" s="5"/>
      <c r="BN53" s="21"/>
      <c r="BO53" s="25">
        <f t="shared" si="15"/>
        <v>0</v>
      </c>
      <c r="BP53" s="25" t="e">
        <f t="shared" si="16"/>
        <v>#DIV/0!</v>
      </c>
      <c r="BQ53" s="25">
        <f t="shared" si="17"/>
        <v>0</v>
      </c>
    </row>
    <row r="54" spans="1:69">
      <c r="A54" s="47">
        <f>A22</f>
        <v>500</v>
      </c>
      <c r="B54" s="30">
        <f t="shared" si="18"/>
        <v>2E-3</v>
      </c>
      <c r="C54" s="19"/>
      <c r="D54" s="20"/>
      <c r="E54" s="5"/>
      <c r="F54" s="20"/>
      <c r="G54" s="5"/>
      <c r="H54" s="20"/>
      <c r="I54" s="5"/>
      <c r="J54" s="20"/>
      <c r="K54" s="5"/>
      <c r="L54" s="20"/>
      <c r="M54" s="5"/>
      <c r="N54" s="20"/>
      <c r="O54" s="5"/>
      <c r="P54" s="20"/>
      <c r="Q54" s="5"/>
      <c r="R54" s="20"/>
      <c r="S54" s="5"/>
      <c r="T54" s="20"/>
      <c r="U54" s="5"/>
      <c r="V54" s="20"/>
      <c r="W54" s="5"/>
      <c r="X54" s="20"/>
      <c r="Y54" s="5"/>
      <c r="Z54" s="20"/>
      <c r="AA54" s="5"/>
      <c r="AB54" s="20"/>
      <c r="AC54" s="5"/>
      <c r="AD54" s="20"/>
      <c r="AE54" s="5"/>
      <c r="AF54" s="20"/>
      <c r="AG54" s="5"/>
      <c r="AH54" s="20"/>
      <c r="AI54" s="5"/>
      <c r="AJ54" s="20"/>
      <c r="AK54" s="5"/>
      <c r="AL54" s="20"/>
      <c r="AM54" s="5"/>
      <c r="AN54" s="20"/>
      <c r="AO54" s="5"/>
      <c r="AP54" s="20"/>
      <c r="AQ54" s="5"/>
      <c r="AR54" s="20"/>
      <c r="AS54" s="5"/>
      <c r="AT54" s="20"/>
      <c r="AU54" s="5"/>
      <c r="AV54" s="20"/>
      <c r="AW54" s="5"/>
      <c r="AX54" s="20"/>
      <c r="AY54" s="5"/>
      <c r="AZ54" s="20"/>
      <c r="BA54" s="5"/>
      <c r="BB54" s="20"/>
      <c r="BC54" s="5"/>
      <c r="BD54" s="20"/>
      <c r="BE54" s="5"/>
      <c r="BF54" s="20"/>
      <c r="BG54" s="5"/>
      <c r="BH54" s="20"/>
      <c r="BI54" s="5"/>
      <c r="BJ54" s="20"/>
      <c r="BK54" s="5"/>
      <c r="BL54" s="20"/>
      <c r="BM54" s="5"/>
      <c r="BN54" s="21"/>
      <c r="BO54" s="25">
        <f t="shared" si="15"/>
        <v>0</v>
      </c>
      <c r="BP54" s="25" t="e">
        <f t="shared" si="16"/>
        <v>#DIV/0!</v>
      </c>
      <c r="BQ54" s="25">
        <f t="shared" si="17"/>
        <v>0</v>
      </c>
    </row>
    <row r="55" spans="1:69">
      <c r="A55" s="47">
        <f>A23</f>
        <v>300</v>
      </c>
      <c r="B55" s="30">
        <f t="shared" si="18"/>
        <v>3.0000000000000001E-3</v>
      </c>
      <c r="C55" s="19"/>
      <c r="D55" s="20"/>
      <c r="E55" s="5"/>
      <c r="F55" s="20"/>
      <c r="G55" s="5"/>
      <c r="H55" s="20"/>
      <c r="I55" s="5"/>
      <c r="J55" s="20"/>
      <c r="K55" s="5"/>
      <c r="L55" s="20"/>
      <c r="M55" s="5"/>
      <c r="N55" s="20"/>
      <c r="O55" s="5"/>
      <c r="P55" s="20"/>
      <c r="Q55" s="5"/>
      <c r="R55" s="20"/>
      <c r="S55" s="5"/>
      <c r="T55" s="20"/>
      <c r="U55" s="5"/>
      <c r="V55" s="20"/>
      <c r="W55" s="5"/>
      <c r="X55" s="20"/>
      <c r="Y55" s="5"/>
      <c r="Z55" s="20"/>
      <c r="AA55" s="5"/>
      <c r="AB55" s="20"/>
      <c r="AC55" s="5"/>
      <c r="AD55" s="20"/>
      <c r="AE55" s="5"/>
      <c r="AF55" s="20"/>
      <c r="AG55" s="5"/>
      <c r="AH55" s="20"/>
      <c r="AI55" s="5"/>
      <c r="AJ55" s="20"/>
      <c r="AK55" s="5"/>
      <c r="AL55" s="20"/>
      <c r="AM55" s="5"/>
      <c r="AN55" s="20"/>
      <c r="AO55" s="5"/>
      <c r="AP55" s="20"/>
      <c r="AQ55" s="5"/>
      <c r="AR55" s="20"/>
      <c r="AS55" s="5"/>
      <c r="AT55" s="20"/>
      <c r="AU55" s="5"/>
      <c r="AV55" s="20"/>
      <c r="AW55" s="5"/>
      <c r="AX55" s="20"/>
      <c r="AY55" s="5"/>
      <c r="AZ55" s="20"/>
      <c r="BA55" s="5"/>
      <c r="BB55" s="20"/>
      <c r="BC55" s="5"/>
      <c r="BD55" s="20"/>
      <c r="BE55" s="5"/>
      <c r="BF55" s="20"/>
      <c r="BG55" s="5"/>
      <c r="BH55" s="20"/>
      <c r="BI55" s="5"/>
      <c r="BJ55" s="20"/>
      <c r="BK55" s="5"/>
      <c r="BL55" s="20"/>
      <c r="BM55" s="5"/>
      <c r="BN55" s="21"/>
      <c r="BO55" s="25">
        <f t="shared" si="15"/>
        <v>0</v>
      </c>
      <c r="BP55" s="25" t="e">
        <f t="shared" si="16"/>
        <v>#DIV/0!</v>
      </c>
      <c r="BQ55" s="25">
        <f t="shared" si="17"/>
        <v>0</v>
      </c>
    </row>
    <row r="56" spans="1:69">
      <c r="A56" s="47">
        <f>A24</f>
        <v>300</v>
      </c>
      <c r="B56" s="30">
        <f t="shared" si="18"/>
        <v>5.0000000000000001E-3</v>
      </c>
      <c r="C56" s="19"/>
      <c r="D56" s="20"/>
      <c r="E56" s="5"/>
      <c r="F56" s="20"/>
      <c r="G56" s="5"/>
      <c r="H56" s="20"/>
      <c r="I56" s="5"/>
      <c r="J56" s="20"/>
      <c r="K56" s="5"/>
      <c r="L56" s="20"/>
      <c r="M56" s="5"/>
      <c r="N56" s="20"/>
      <c r="O56" s="5"/>
      <c r="P56" s="20"/>
      <c r="Q56" s="5"/>
      <c r="R56" s="20"/>
      <c r="S56" s="5"/>
      <c r="T56" s="20"/>
      <c r="U56" s="5"/>
      <c r="V56" s="20"/>
      <c r="W56" s="5"/>
      <c r="X56" s="20"/>
      <c r="Y56" s="5"/>
      <c r="Z56" s="20"/>
      <c r="AA56" s="5"/>
      <c r="AB56" s="20"/>
      <c r="AC56" s="5"/>
      <c r="AD56" s="20"/>
      <c r="AE56" s="5"/>
      <c r="AF56" s="20"/>
      <c r="AG56" s="5"/>
      <c r="AH56" s="20"/>
      <c r="AI56" s="5"/>
      <c r="AJ56" s="20"/>
      <c r="AK56" s="5"/>
      <c r="AL56" s="20"/>
      <c r="AM56" s="5"/>
      <c r="AN56" s="20"/>
      <c r="AO56" s="5"/>
      <c r="AP56" s="20"/>
      <c r="AQ56" s="5"/>
      <c r="AR56" s="20"/>
      <c r="AS56" s="5"/>
      <c r="AT56" s="20"/>
      <c r="AU56" s="5"/>
      <c r="AV56" s="20"/>
      <c r="AW56" s="5"/>
      <c r="AX56" s="20"/>
      <c r="AY56" s="5"/>
      <c r="AZ56" s="20"/>
      <c r="BA56" s="5"/>
      <c r="BB56" s="20"/>
      <c r="BC56" s="5"/>
      <c r="BD56" s="20"/>
      <c r="BE56" s="5"/>
      <c r="BF56" s="20"/>
      <c r="BG56" s="5"/>
      <c r="BH56" s="20"/>
      <c r="BI56" s="5"/>
      <c r="BJ56" s="20"/>
      <c r="BK56" s="5"/>
      <c r="BL56" s="20"/>
      <c r="BM56" s="5"/>
      <c r="BN56" s="21"/>
      <c r="BO56" s="25">
        <f t="shared" si="15"/>
        <v>0</v>
      </c>
      <c r="BP56" s="25" t="e">
        <f t="shared" si="16"/>
        <v>#DIV/0!</v>
      </c>
      <c r="BQ56" s="25">
        <f t="shared" si="17"/>
        <v>0</v>
      </c>
    </row>
    <row r="57" spans="1:69">
      <c r="A57" s="47">
        <f>A25</f>
        <v>300</v>
      </c>
      <c r="B57" s="30">
        <f t="shared" si="18"/>
        <v>7.0000000000000001E-3</v>
      </c>
      <c r="C57" s="19"/>
      <c r="D57" s="20"/>
      <c r="E57" s="5"/>
      <c r="F57" s="20"/>
      <c r="G57" s="5"/>
      <c r="H57" s="20"/>
      <c r="I57" s="5"/>
      <c r="J57" s="20"/>
      <c r="K57" s="5"/>
      <c r="L57" s="20"/>
      <c r="M57" s="5"/>
      <c r="N57" s="20"/>
      <c r="O57" s="5"/>
      <c r="P57" s="20"/>
      <c r="Q57" s="5"/>
      <c r="R57" s="20"/>
      <c r="S57" s="5"/>
      <c r="T57" s="20"/>
      <c r="U57" s="5"/>
      <c r="V57" s="20"/>
      <c r="W57" s="5"/>
      <c r="X57" s="20"/>
      <c r="Y57" s="5"/>
      <c r="Z57" s="20"/>
      <c r="AA57" s="5"/>
      <c r="AB57" s="20"/>
      <c r="AC57" s="5"/>
      <c r="AD57" s="20"/>
      <c r="AE57" s="5"/>
      <c r="AF57" s="20"/>
      <c r="AG57" s="5"/>
      <c r="AH57" s="20"/>
      <c r="AI57" s="5"/>
      <c r="AJ57" s="20"/>
      <c r="AK57" s="5"/>
      <c r="AL57" s="20"/>
      <c r="AM57" s="5"/>
      <c r="AN57" s="20"/>
      <c r="AO57" s="5"/>
      <c r="AP57" s="20"/>
      <c r="AQ57" s="5"/>
      <c r="AR57" s="20"/>
      <c r="AS57" s="5"/>
      <c r="AT57" s="20"/>
      <c r="AU57" s="5"/>
      <c r="AV57" s="20"/>
      <c r="AW57" s="5"/>
      <c r="AX57" s="20"/>
      <c r="AY57" s="5"/>
      <c r="AZ57" s="20"/>
      <c r="BA57" s="5"/>
      <c r="BB57" s="20"/>
      <c r="BC57" s="5"/>
      <c r="BD57" s="20"/>
      <c r="BE57" s="5"/>
      <c r="BF57" s="20"/>
      <c r="BG57" s="5"/>
      <c r="BH57" s="20"/>
      <c r="BI57" s="5"/>
      <c r="BJ57" s="20"/>
      <c r="BK57" s="5"/>
      <c r="BL57" s="20"/>
      <c r="BM57" s="5"/>
      <c r="BN57" s="21"/>
      <c r="BO57" s="25">
        <f t="shared" si="15"/>
        <v>0</v>
      </c>
      <c r="BP57" s="25" t="e">
        <f t="shared" si="16"/>
        <v>#DIV/0!</v>
      </c>
      <c r="BQ57" s="25">
        <f t="shared" si="17"/>
        <v>0</v>
      </c>
    </row>
    <row r="58" spans="1:69">
      <c r="A58" s="47">
        <f>A26</f>
        <v>200</v>
      </c>
      <c r="B58" s="30">
        <f t="shared" si="18"/>
        <v>0.01</v>
      </c>
      <c r="C58" s="19"/>
      <c r="D58" s="20"/>
      <c r="E58" s="5"/>
      <c r="F58" s="20"/>
      <c r="G58" s="5"/>
      <c r="H58" s="20"/>
      <c r="I58" s="5"/>
      <c r="J58" s="20"/>
      <c r="K58" s="5"/>
      <c r="L58" s="20"/>
      <c r="M58" s="5"/>
      <c r="N58" s="20"/>
      <c r="O58" s="5"/>
      <c r="P58" s="20"/>
      <c r="Q58" s="5"/>
      <c r="R58" s="20"/>
      <c r="S58" s="5"/>
      <c r="T58" s="20"/>
      <c r="U58" s="5"/>
      <c r="V58" s="20"/>
      <c r="W58" s="5"/>
      <c r="X58" s="20"/>
      <c r="Y58" s="5"/>
      <c r="Z58" s="20"/>
      <c r="AA58" s="5"/>
      <c r="AB58" s="20"/>
      <c r="AC58" s="5"/>
      <c r="AD58" s="20"/>
      <c r="AE58" s="5"/>
      <c r="AF58" s="20"/>
      <c r="AG58" s="5"/>
      <c r="AH58" s="20"/>
      <c r="AI58" s="5"/>
      <c r="AJ58" s="20"/>
      <c r="AK58" s="5"/>
      <c r="AL58" s="20"/>
      <c r="AM58" s="5"/>
      <c r="AN58" s="20"/>
      <c r="AO58" s="5"/>
      <c r="AP58" s="20"/>
      <c r="AQ58" s="5"/>
      <c r="AR58" s="20"/>
      <c r="AS58" s="5"/>
      <c r="AT58" s="20"/>
      <c r="AU58" s="5"/>
      <c r="AV58" s="20"/>
      <c r="AW58" s="5"/>
      <c r="AX58" s="20"/>
      <c r="AY58" s="5"/>
      <c r="AZ58" s="20"/>
      <c r="BA58" s="5"/>
      <c r="BB58" s="20"/>
      <c r="BC58" s="5"/>
      <c r="BD58" s="20"/>
      <c r="BE58" s="5"/>
      <c r="BF58" s="20"/>
      <c r="BG58" s="5"/>
      <c r="BH58" s="20"/>
      <c r="BI58" s="5"/>
      <c r="BJ58" s="20"/>
      <c r="BK58" s="5"/>
      <c r="BL58" s="20"/>
      <c r="BM58" s="5"/>
      <c r="BN58" s="21"/>
      <c r="BO58" s="25">
        <f t="shared" si="15"/>
        <v>0</v>
      </c>
      <c r="BP58" s="25" t="e">
        <f t="shared" si="16"/>
        <v>#DIV/0!</v>
      </c>
      <c r="BQ58" s="25">
        <f t="shared" si="17"/>
        <v>0</v>
      </c>
    </row>
    <row r="59" spans="1:69">
      <c r="A59" s="47">
        <f>A27</f>
        <v>200</v>
      </c>
      <c r="B59" s="30">
        <f t="shared" si="18"/>
        <v>0.02</v>
      </c>
      <c r="C59" s="19"/>
      <c r="D59" s="20"/>
      <c r="E59" s="5"/>
      <c r="F59" s="20"/>
      <c r="G59" s="5"/>
      <c r="H59" s="20"/>
      <c r="I59" s="5"/>
      <c r="J59" s="20"/>
      <c r="K59" s="5"/>
      <c r="L59" s="20"/>
      <c r="M59" s="5"/>
      <c r="N59" s="20"/>
      <c r="O59" s="5"/>
      <c r="P59" s="20"/>
      <c r="Q59" s="5"/>
      <c r="R59" s="20"/>
      <c r="S59" s="5"/>
      <c r="T59" s="20"/>
      <c r="U59" s="5"/>
      <c r="V59" s="20"/>
      <c r="W59" s="5"/>
      <c r="X59" s="20"/>
      <c r="Y59" s="5"/>
      <c r="Z59" s="20"/>
      <c r="AA59" s="5"/>
      <c r="AB59" s="20"/>
      <c r="AC59" s="5"/>
      <c r="AD59" s="20"/>
      <c r="AE59" s="5"/>
      <c r="AF59" s="20"/>
      <c r="AG59" s="5"/>
      <c r="AH59" s="20"/>
      <c r="AI59" s="5"/>
      <c r="AJ59" s="20"/>
      <c r="AK59" s="5"/>
      <c r="AL59" s="20"/>
      <c r="AM59" s="5"/>
      <c r="AN59" s="20"/>
      <c r="AO59" s="5"/>
      <c r="AP59" s="20"/>
      <c r="AQ59" s="5"/>
      <c r="AR59" s="20"/>
      <c r="AS59" s="5"/>
      <c r="AT59" s="20"/>
      <c r="AU59" s="5"/>
      <c r="AV59" s="20"/>
      <c r="AW59" s="5"/>
      <c r="AX59" s="20"/>
      <c r="AY59" s="5"/>
      <c r="AZ59" s="20"/>
      <c r="BA59" s="5"/>
      <c r="BB59" s="20"/>
      <c r="BC59" s="5"/>
      <c r="BD59" s="20"/>
      <c r="BE59" s="5"/>
      <c r="BF59" s="20"/>
      <c r="BG59" s="5"/>
      <c r="BH59" s="20"/>
      <c r="BI59" s="5"/>
      <c r="BJ59" s="20"/>
      <c r="BK59" s="5"/>
      <c r="BL59" s="20"/>
      <c r="BM59" s="5"/>
      <c r="BN59" s="21"/>
      <c r="BO59" s="25">
        <f t="shared" si="15"/>
        <v>0</v>
      </c>
      <c r="BP59" s="25" t="e">
        <f t="shared" si="16"/>
        <v>#DIV/0!</v>
      </c>
      <c r="BQ59" s="25">
        <f t="shared" si="17"/>
        <v>0</v>
      </c>
    </row>
    <row r="60" spans="1:69">
      <c r="A60" s="47">
        <f>A28</f>
        <v>200</v>
      </c>
      <c r="B60" s="30">
        <f t="shared" si="18"/>
        <v>0.03</v>
      </c>
      <c r="C60" s="19"/>
      <c r="D60" s="20"/>
      <c r="E60" s="5"/>
      <c r="F60" s="20"/>
      <c r="G60" s="5"/>
      <c r="H60" s="20"/>
      <c r="I60" s="5"/>
      <c r="J60" s="20"/>
      <c r="K60" s="5"/>
      <c r="L60" s="20"/>
      <c r="M60" s="5"/>
      <c r="N60" s="20"/>
      <c r="O60" s="5"/>
      <c r="P60" s="20"/>
      <c r="Q60" s="5"/>
      <c r="R60" s="20"/>
      <c r="S60" s="5"/>
      <c r="T60" s="20"/>
      <c r="U60" s="5"/>
      <c r="V60" s="20"/>
      <c r="W60" s="5"/>
      <c r="X60" s="20"/>
      <c r="Y60" s="5"/>
      <c r="Z60" s="20"/>
      <c r="AA60" s="5"/>
      <c r="AB60" s="20"/>
      <c r="AC60" s="5"/>
      <c r="AD60" s="20"/>
      <c r="AE60" s="5"/>
      <c r="AF60" s="20"/>
      <c r="AG60" s="5"/>
      <c r="AH60" s="20"/>
      <c r="AI60" s="5"/>
      <c r="AJ60" s="20"/>
      <c r="AK60" s="5"/>
      <c r="AL60" s="20"/>
      <c r="AM60" s="5"/>
      <c r="AN60" s="20"/>
      <c r="AO60" s="5"/>
      <c r="AP60" s="20"/>
      <c r="AQ60" s="5"/>
      <c r="AR60" s="20"/>
      <c r="AS60" s="5"/>
      <c r="AT60" s="20"/>
      <c r="AU60" s="5"/>
      <c r="AV60" s="20"/>
      <c r="AW60" s="5"/>
      <c r="AX60" s="20"/>
      <c r="AY60" s="5"/>
      <c r="AZ60" s="20"/>
      <c r="BA60" s="5"/>
      <c r="BB60" s="20"/>
      <c r="BC60" s="5"/>
      <c r="BD60" s="20"/>
      <c r="BE60" s="5"/>
      <c r="BF60" s="20"/>
      <c r="BG60" s="5"/>
      <c r="BH60" s="20"/>
      <c r="BI60" s="5"/>
      <c r="BJ60" s="20"/>
      <c r="BK60" s="5"/>
      <c r="BL60" s="20"/>
      <c r="BM60" s="5"/>
      <c r="BN60" s="21"/>
      <c r="BO60" s="25">
        <f t="shared" si="15"/>
        <v>0</v>
      </c>
      <c r="BP60" s="25" t="e">
        <f t="shared" si="16"/>
        <v>#DIV/0!</v>
      </c>
      <c r="BQ60" s="25">
        <f t="shared" si="17"/>
        <v>0</v>
      </c>
    </row>
    <row r="61" spans="1:69">
      <c r="A61" s="47">
        <f>A29</f>
        <v>200</v>
      </c>
      <c r="B61" s="30">
        <f t="shared" si="18"/>
        <v>0.05</v>
      </c>
      <c r="C61" s="19"/>
      <c r="D61" s="20"/>
      <c r="E61" s="5"/>
      <c r="F61" s="20"/>
      <c r="G61" s="5"/>
      <c r="H61" s="20"/>
      <c r="I61" s="5"/>
      <c r="J61" s="20"/>
      <c r="K61" s="5"/>
      <c r="L61" s="20"/>
      <c r="M61" s="5"/>
      <c r="N61" s="20"/>
      <c r="O61" s="5"/>
      <c r="P61" s="20"/>
      <c r="Q61" s="5"/>
      <c r="R61" s="20"/>
      <c r="S61" s="5"/>
      <c r="T61" s="20"/>
      <c r="U61" s="5"/>
      <c r="V61" s="20"/>
      <c r="W61" s="5"/>
      <c r="X61" s="20"/>
      <c r="Y61" s="5"/>
      <c r="Z61" s="20"/>
      <c r="AA61" s="5"/>
      <c r="AB61" s="20"/>
      <c r="AC61" s="5"/>
      <c r="AD61" s="20"/>
      <c r="AE61" s="5"/>
      <c r="AF61" s="20"/>
      <c r="AG61" s="5"/>
      <c r="AH61" s="20"/>
      <c r="AI61" s="5"/>
      <c r="AJ61" s="20"/>
      <c r="AK61" s="5"/>
      <c r="AL61" s="20"/>
      <c r="AM61" s="5"/>
      <c r="AN61" s="20"/>
      <c r="AO61" s="5"/>
      <c r="AP61" s="20"/>
      <c r="AQ61" s="5"/>
      <c r="AR61" s="20"/>
      <c r="AS61" s="5"/>
      <c r="AT61" s="20"/>
      <c r="AU61" s="5"/>
      <c r="AV61" s="20"/>
      <c r="AW61" s="5"/>
      <c r="AX61" s="20"/>
      <c r="AY61" s="5"/>
      <c r="AZ61" s="20"/>
      <c r="BA61" s="5"/>
      <c r="BB61" s="20"/>
      <c r="BC61" s="5"/>
      <c r="BD61" s="20"/>
      <c r="BE61" s="5"/>
      <c r="BF61" s="20"/>
      <c r="BG61" s="5"/>
      <c r="BH61" s="20"/>
      <c r="BI61" s="5"/>
      <c r="BJ61" s="20"/>
      <c r="BK61" s="5"/>
      <c r="BL61" s="20"/>
      <c r="BM61" s="5"/>
      <c r="BN61" s="21"/>
      <c r="BO61" s="25">
        <f t="shared" si="15"/>
        <v>0</v>
      </c>
      <c r="BP61" s="25" t="e">
        <f t="shared" si="16"/>
        <v>#DIV/0!</v>
      </c>
      <c r="BQ61" s="25">
        <f t="shared" si="17"/>
        <v>0</v>
      </c>
    </row>
    <row r="62" spans="1:69">
      <c r="A62" s="47">
        <f>A30</f>
        <v>200</v>
      </c>
      <c r="B62" s="30">
        <f t="shared" si="18"/>
        <v>7.0000000000000007E-2</v>
      </c>
      <c r="C62" s="19"/>
      <c r="D62" s="20"/>
      <c r="E62" s="5"/>
      <c r="F62" s="20"/>
      <c r="G62" s="5"/>
      <c r="H62" s="20"/>
      <c r="I62" s="5"/>
      <c r="J62" s="20"/>
      <c r="K62" s="5"/>
      <c r="L62" s="20"/>
      <c r="M62" s="5"/>
      <c r="N62" s="20"/>
      <c r="O62" s="5"/>
      <c r="P62" s="20"/>
      <c r="Q62" s="5"/>
      <c r="R62" s="20"/>
      <c r="S62" s="5"/>
      <c r="T62" s="20"/>
      <c r="U62" s="5"/>
      <c r="V62" s="20"/>
      <c r="W62" s="5"/>
      <c r="X62" s="20"/>
      <c r="Y62" s="5"/>
      <c r="Z62" s="20"/>
      <c r="AA62" s="5"/>
      <c r="AB62" s="20"/>
      <c r="AC62" s="5"/>
      <c r="AD62" s="20"/>
      <c r="AE62" s="5"/>
      <c r="AF62" s="20"/>
      <c r="AG62" s="5"/>
      <c r="AH62" s="20"/>
      <c r="AI62" s="5"/>
      <c r="AJ62" s="20"/>
      <c r="AK62" s="5"/>
      <c r="AL62" s="20"/>
      <c r="AM62" s="5"/>
      <c r="AN62" s="20"/>
      <c r="AO62" s="5"/>
      <c r="AP62" s="20"/>
      <c r="AQ62" s="5"/>
      <c r="AR62" s="20"/>
      <c r="AS62" s="5"/>
      <c r="AT62" s="20"/>
      <c r="AU62" s="5"/>
      <c r="AV62" s="20"/>
      <c r="AW62" s="5"/>
      <c r="AX62" s="20"/>
      <c r="AY62" s="5"/>
      <c r="AZ62" s="20"/>
      <c r="BA62" s="5"/>
      <c r="BB62" s="20"/>
      <c r="BC62" s="5"/>
      <c r="BD62" s="20"/>
      <c r="BE62" s="5"/>
      <c r="BF62" s="20"/>
      <c r="BG62" s="5"/>
      <c r="BH62" s="20"/>
      <c r="BI62" s="5"/>
      <c r="BJ62" s="20"/>
      <c r="BK62" s="5"/>
      <c r="BL62" s="20"/>
      <c r="BM62" s="5"/>
      <c r="BN62" s="21"/>
      <c r="BO62" s="25">
        <f t="shared" si="15"/>
        <v>0</v>
      </c>
      <c r="BP62" s="25" t="e">
        <f t="shared" si="16"/>
        <v>#DIV/0!</v>
      </c>
      <c r="BQ62" s="25">
        <f t="shared" si="17"/>
        <v>0</v>
      </c>
    </row>
    <row r="63" spans="1:69">
      <c r="A63" s="47">
        <f>A31</f>
        <v>200</v>
      </c>
      <c r="B63" s="30">
        <f t="shared" si="18"/>
        <v>0.1</v>
      </c>
      <c r="C63" s="19"/>
      <c r="D63" s="20"/>
      <c r="E63" s="5"/>
      <c r="F63" s="20"/>
      <c r="G63" s="5"/>
      <c r="H63" s="20"/>
      <c r="I63" s="5"/>
      <c r="J63" s="20"/>
      <c r="K63" s="5"/>
      <c r="L63" s="20"/>
      <c r="M63" s="5"/>
      <c r="N63" s="20"/>
      <c r="O63" s="5"/>
      <c r="P63" s="20"/>
      <c r="Q63" s="5"/>
      <c r="R63" s="20"/>
      <c r="S63" s="5"/>
      <c r="T63" s="20"/>
      <c r="U63" s="5"/>
      <c r="V63" s="20"/>
      <c r="W63" s="5"/>
      <c r="X63" s="20"/>
      <c r="Y63" s="5"/>
      <c r="Z63" s="20"/>
      <c r="AA63" s="5"/>
      <c r="AB63" s="20"/>
      <c r="AC63" s="5"/>
      <c r="AD63" s="20"/>
      <c r="AE63" s="5"/>
      <c r="AF63" s="20"/>
      <c r="AG63" s="5"/>
      <c r="AH63" s="20"/>
      <c r="AI63" s="5"/>
      <c r="AJ63" s="20"/>
      <c r="AK63" s="5"/>
      <c r="AL63" s="20"/>
      <c r="AM63" s="5"/>
      <c r="AN63" s="20"/>
      <c r="AO63" s="5"/>
      <c r="AP63" s="20"/>
      <c r="AQ63" s="5"/>
      <c r="AR63" s="20"/>
      <c r="AS63" s="5"/>
      <c r="AT63" s="20"/>
      <c r="AU63" s="5"/>
      <c r="AV63" s="20"/>
      <c r="AW63" s="5"/>
      <c r="AX63" s="20"/>
      <c r="AY63" s="5"/>
      <c r="AZ63" s="20"/>
      <c r="BA63" s="5"/>
      <c r="BB63" s="20"/>
      <c r="BC63" s="5"/>
      <c r="BD63" s="20"/>
      <c r="BE63" s="5"/>
      <c r="BF63" s="20"/>
      <c r="BG63" s="5"/>
      <c r="BH63" s="20"/>
      <c r="BI63" s="5"/>
      <c r="BJ63" s="20"/>
      <c r="BK63" s="5"/>
      <c r="BL63" s="20"/>
      <c r="BM63" s="5"/>
      <c r="BN63" s="21"/>
      <c r="BO63" s="25">
        <f t="shared" si="15"/>
        <v>0</v>
      </c>
      <c r="BP63" s="25" t="e">
        <f t="shared" si="16"/>
        <v>#DIV/0!</v>
      </c>
      <c r="BQ63" s="25">
        <f t="shared" si="17"/>
        <v>0</v>
      </c>
    </row>
    <row r="64" spans="1:69">
      <c r="A64" s="47">
        <f>A32</f>
        <v>200</v>
      </c>
      <c r="B64" s="30">
        <f t="shared" si="18"/>
        <v>0.2</v>
      </c>
      <c r="C64" s="19"/>
      <c r="D64" s="20"/>
      <c r="E64" s="5"/>
      <c r="F64" s="20"/>
      <c r="G64" s="5"/>
      <c r="H64" s="20"/>
      <c r="I64" s="5"/>
      <c r="J64" s="20"/>
      <c r="K64" s="5"/>
      <c r="L64" s="20"/>
      <c r="M64" s="5"/>
      <c r="N64" s="20"/>
      <c r="O64" s="5"/>
      <c r="P64" s="20"/>
      <c r="Q64" s="5"/>
      <c r="R64" s="20"/>
      <c r="S64" s="5"/>
      <c r="T64" s="20"/>
      <c r="U64" s="5"/>
      <c r="V64" s="20"/>
      <c r="W64" s="5"/>
      <c r="X64" s="20"/>
      <c r="Y64" s="5"/>
      <c r="Z64" s="20"/>
      <c r="AA64" s="5"/>
      <c r="AB64" s="20"/>
      <c r="AC64" s="5"/>
      <c r="AD64" s="20"/>
      <c r="AE64" s="5"/>
      <c r="AF64" s="20"/>
      <c r="AG64" s="5"/>
      <c r="AH64" s="20"/>
      <c r="AI64" s="5"/>
      <c r="AJ64" s="20"/>
      <c r="AK64" s="5"/>
      <c r="AL64" s="20"/>
      <c r="AM64" s="5"/>
      <c r="AN64" s="20"/>
      <c r="AO64" s="5"/>
      <c r="AP64" s="20"/>
      <c r="AQ64" s="5"/>
      <c r="AR64" s="20"/>
      <c r="AS64" s="5"/>
      <c r="AT64" s="20"/>
      <c r="AU64" s="5"/>
      <c r="AV64" s="20"/>
      <c r="AW64" s="5"/>
      <c r="AX64" s="20"/>
      <c r="AY64" s="5"/>
      <c r="AZ64" s="20"/>
      <c r="BA64" s="5"/>
      <c r="BB64" s="20"/>
      <c r="BC64" s="5"/>
      <c r="BD64" s="20"/>
      <c r="BE64" s="5"/>
      <c r="BF64" s="20"/>
      <c r="BG64" s="5"/>
      <c r="BH64" s="20"/>
      <c r="BI64" s="5"/>
      <c r="BJ64" s="20"/>
      <c r="BK64" s="5"/>
      <c r="BL64" s="20"/>
      <c r="BM64" s="5"/>
      <c r="BN64" s="21"/>
      <c r="BO64" s="25">
        <f t="shared" si="15"/>
        <v>0</v>
      </c>
      <c r="BP64" s="25" t="e">
        <f t="shared" si="16"/>
        <v>#DIV/0!</v>
      </c>
      <c r="BQ64" s="25">
        <f t="shared" si="17"/>
        <v>0</v>
      </c>
    </row>
    <row r="65" spans="1:69">
      <c r="A65" s="47">
        <f>A33</f>
        <v>200</v>
      </c>
      <c r="B65" s="30">
        <f t="shared" si="18"/>
        <v>0.3</v>
      </c>
      <c r="C65" s="19"/>
      <c r="D65" s="20"/>
      <c r="E65" s="5"/>
      <c r="F65" s="20"/>
      <c r="G65" s="5"/>
      <c r="H65" s="20"/>
      <c r="I65" s="5"/>
      <c r="J65" s="20"/>
      <c r="K65" s="5"/>
      <c r="L65" s="20"/>
      <c r="M65" s="5"/>
      <c r="N65" s="20"/>
      <c r="O65" s="5"/>
      <c r="P65" s="20"/>
      <c r="Q65" s="5"/>
      <c r="R65" s="20"/>
      <c r="S65" s="5"/>
      <c r="T65" s="20"/>
      <c r="U65" s="5"/>
      <c r="V65" s="20"/>
      <c r="W65" s="5"/>
      <c r="X65" s="20"/>
      <c r="Y65" s="5"/>
      <c r="Z65" s="20"/>
      <c r="AA65" s="5"/>
      <c r="AB65" s="20"/>
      <c r="AC65" s="5"/>
      <c r="AD65" s="20"/>
      <c r="AE65" s="5"/>
      <c r="AF65" s="20"/>
      <c r="AG65" s="5"/>
      <c r="AH65" s="20"/>
      <c r="AI65" s="5"/>
      <c r="AJ65" s="20"/>
      <c r="AK65" s="5"/>
      <c r="AL65" s="20"/>
      <c r="AM65" s="5"/>
      <c r="AN65" s="20"/>
      <c r="AO65" s="5"/>
      <c r="AP65" s="20"/>
      <c r="AQ65" s="5"/>
      <c r="AR65" s="20"/>
      <c r="AS65" s="5"/>
      <c r="AT65" s="20"/>
      <c r="AU65" s="5"/>
      <c r="AV65" s="20"/>
      <c r="AW65" s="5"/>
      <c r="AX65" s="20"/>
      <c r="AY65" s="5"/>
      <c r="AZ65" s="20"/>
      <c r="BA65" s="5"/>
      <c r="BB65" s="20"/>
      <c r="BC65" s="5"/>
      <c r="BD65" s="20"/>
      <c r="BE65" s="5"/>
      <c r="BF65" s="20"/>
      <c r="BG65" s="5"/>
      <c r="BH65" s="20"/>
      <c r="BI65" s="5"/>
      <c r="BJ65" s="20"/>
      <c r="BK65" s="5"/>
      <c r="BL65" s="20"/>
      <c r="BM65" s="5"/>
      <c r="BN65" s="21"/>
      <c r="BO65" s="25">
        <f t="shared" si="15"/>
        <v>0</v>
      </c>
      <c r="BP65" s="25" t="e">
        <f t="shared" si="16"/>
        <v>#DIV/0!</v>
      </c>
      <c r="BQ65" s="25">
        <f t="shared" si="17"/>
        <v>0</v>
      </c>
    </row>
    <row r="66" spans="1:69">
      <c r="A66" s="47">
        <f>A34</f>
        <v>200</v>
      </c>
      <c r="B66" s="30">
        <f t="shared" si="18"/>
        <v>0.5</v>
      </c>
      <c r="C66" s="19"/>
      <c r="D66" s="20"/>
      <c r="E66" s="5"/>
      <c r="F66" s="20"/>
      <c r="G66" s="5"/>
      <c r="H66" s="20"/>
      <c r="I66" s="5"/>
      <c r="J66" s="20"/>
      <c r="K66" s="5"/>
      <c r="L66" s="20"/>
      <c r="M66" s="5"/>
      <c r="N66" s="20"/>
      <c r="O66" s="5"/>
      <c r="P66" s="20"/>
      <c r="Q66" s="5"/>
      <c r="R66" s="20"/>
      <c r="S66" s="5"/>
      <c r="T66" s="20"/>
      <c r="U66" s="5"/>
      <c r="V66" s="20"/>
      <c r="W66" s="5"/>
      <c r="X66" s="20"/>
      <c r="Y66" s="5"/>
      <c r="Z66" s="20"/>
      <c r="AA66" s="5"/>
      <c r="AB66" s="20"/>
      <c r="AC66" s="5"/>
      <c r="AD66" s="20"/>
      <c r="AE66" s="5"/>
      <c r="AF66" s="20"/>
      <c r="AG66" s="5"/>
      <c r="AH66" s="20"/>
      <c r="AI66" s="5"/>
      <c r="AJ66" s="20"/>
      <c r="AK66" s="5"/>
      <c r="AL66" s="20"/>
      <c r="AM66" s="5"/>
      <c r="AN66" s="20"/>
      <c r="AO66" s="5"/>
      <c r="AP66" s="20"/>
      <c r="AQ66" s="5"/>
      <c r="AR66" s="20"/>
      <c r="AS66" s="5"/>
      <c r="AT66" s="20"/>
      <c r="AU66" s="5"/>
      <c r="AV66" s="20"/>
      <c r="AW66" s="5"/>
      <c r="AX66" s="20"/>
      <c r="AY66" s="5"/>
      <c r="AZ66" s="20"/>
      <c r="BA66" s="5"/>
      <c r="BB66" s="20"/>
      <c r="BC66" s="5"/>
      <c r="BD66" s="20"/>
      <c r="BE66" s="5"/>
      <c r="BF66" s="20"/>
      <c r="BG66" s="5"/>
      <c r="BH66" s="20"/>
      <c r="BI66" s="5"/>
      <c r="BJ66" s="20"/>
      <c r="BK66" s="5"/>
      <c r="BL66" s="20"/>
      <c r="BM66" s="5"/>
      <c r="BN66" s="21"/>
      <c r="BO66" s="25">
        <f t="shared" si="15"/>
        <v>0</v>
      </c>
      <c r="BP66" s="25" t="e">
        <f t="shared" si="16"/>
        <v>#DIV/0!</v>
      </c>
      <c r="BQ66" s="25">
        <f t="shared" si="17"/>
        <v>0</v>
      </c>
    </row>
    <row r="67" spans="1:69">
      <c r="A67" s="47">
        <f>A35</f>
        <v>200</v>
      </c>
      <c r="B67" s="30">
        <f t="shared" si="18"/>
        <v>0.70000000000000007</v>
      </c>
      <c r="C67" s="19"/>
      <c r="D67" s="20"/>
      <c r="E67" s="5"/>
      <c r="F67" s="20"/>
      <c r="G67" s="5"/>
      <c r="H67" s="20"/>
      <c r="I67" s="5"/>
      <c r="J67" s="20"/>
      <c r="K67" s="5"/>
      <c r="L67" s="20"/>
      <c r="M67" s="5"/>
      <c r="N67" s="20"/>
      <c r="O67" s="5"/>
      <c r="P67" s="20"/>
      <c r="Q67" s="5"/>
      <c r="R67" s="20"/>
      <c r="S67" s="5"/>
      <c r="T67" s="20"/>
      <c r="U67" s="5"/>
      <c r="V67" s="20"/>
      <c r="W67" s="5"/>
      <c r="X67" s="20"/>
      <c r="Y67" s="5"/>
      <c r="Z67" s="20"/>
      <c r="AA67" s="5"/>
      <c r="AB67" s="20"/>
      <c r="AC67" s="5"/>
      <c r="AD67" s="20"/>
      <c r="AE67" s="5"/>
      <c r="AF67" s="20"/>
      <c r="AG67" s="5"/>
      <c r="AH67" s="20"/>
      <c r="AI67" s="5"/>
      <c r="AJ67" s="20"/>
      <c r="AK67" s="5"/>
      <c r="AL67" s="20"/>
      <c r="AM67" s="5"/>
      <c r="AN67" s="20"/>
      <c r="AO67" s="5"/>
      <c r="AP67" s="20"/>
      <c r="AQ67" s="5"/>
      <c r="AR67" s="20"/>
      <c r="AS67" s="5"/>
      <c r="AT67" s="20"/>
      <c r="AU67" s="5"/>
      <c r="AV67" s="20"/>
      <c r="AW67" s="5"/>
      <c r="AX67" s="20"/>
      <c r="AY67" s="5"/>
      <c r="AZ67" s="20"/>
      <c r="BA67" s="5"/>
      <c r="BB67" s="20"/>
      <c r="BC67" s="5"/>
      <c r="BD67" s="20"/>
      <c r="BE67" s="5"/>
      <c r="BF67" s="20"/>
      <c r="BG67" s="5"/>
      <c r="BH67" s="20"/>
      <c r="BI67" s="5"/>
      <c r="BJ67" s="20"/>
      <c r="BK67" s="5"/>
      <c r="BL67" s="20"/>
      <c r="BM67" s="5"/>
      <c r="BN67" s="21"/>
      <c r="BO67" s="25">
        <f t="shared" si="15"/>
        <v>0</v>
      </c>
      <c r="BP67" s="25" t="e">
        <f t="shared" si="16"/>
        <v>#DIV/0!</v>
      </c>
      <c r="BQ67" s="25">
        <f t="shared" si="17"/>
        <v>0</v>
      </c>
    </row>
    <row r="68" spans="1:69" s="43" customFormat="1">
      <c r="A68" s="47">
        <f>A36</f>
        <v>100</v>
      </c>
      <c r="B68" s="41">
        <f t="shared" si="18"/>
        <v>1</v>
      </c>
      <c r="C68" s="53"/>
      <c r="D68" s="54"/>
      <c r="E68" s="55"/>
      <c r="F68" s="54"/>
      <c r="G68" s="55"/>
      <c r="H68" s="54"/>
      <c r="I68" s="55"/>
      <c r="J68" s="54"/>
      <c r="K68" s="55"/>
      <c r="L68" s="54"/>
      <c r="M68" s="55"/>
      <c r="N68" s="54"/>
      <c r="O68" s="55"/>
      <c r="P68" s="54"/>
      <c r="Q68" s="55"/>
      <c r="R68" s="54"/>
      <c r="S68" s="55"/>
      <c r="T68" s="54"/>
      <c r="U68" s="55"/>
      <c r="V68" s="54"/>
      <c r="W68" s="55"/>
      <c r="X68" s="54"/>
      <c r="Y68" s="55"/>
      <c r="Z68" s="54"/>
      <c r="AA68" s="55"/>
      <c r="AB68" s="54"/>
      <c r="AC68" s="55"/>
      <c r="AD68" s="54"/>
      <c r="AE68" s="55"/>
      <c r="AF68" s="54"/>
      <c r="AG68" s="55"/>
      <c r="AH68" s="54"/>
      <c r="AI68" s="55"/>
      <c r="AJ68" s="54"/>
      <c r="AK68" s="55"/>
      <c r="AL68" s="54"/>
      <c r="AM68" s="55"/>
      <c r="AN68" s="54"/>
      <c r="AO68" s="55"/>
      <c r="AP68" s="54"/>
      <c r="AQ68" s="55"/>
      <c r="AR68" s="54"/>
      <c r="AS68" s="55"/>
      <c r="AT68" s="54"/>
      <c r="AU68" s="55"/>
      <c r="AV68" s="54"/>
      <c r="AW68" s="55"/>
      <c r="AX68" s="54"/>
      <c r="AY68" s="55"/>
      <c r="AZ68" s="54"/>
      <c r="BA68" s="55"/>
      <c r="BB68" s="54"/>
      <c r="BC68" s="55"/>
      <c r="BD68" s="54"/>
      <c r="BE68" s="55"/>
      <c r="BF68" s="54"/>
      <c r="BG68" s="55"/>
      <c r="BH68" s="54"/>
      <c r="BI68" s="55"/>
      <c r="BJ68" s="54"/>
      <c r="BK68" s="55"/>
      <c r="BL68" s="54"/>
      <c r="BM68" s="55"/>
      <c r="BN68" s="52"/>
      <c r="BO68" s="42">
        <f t="shared" si="15"/>
        <v>0</v>
      </c>
      <c r="BP68" s="42" t="e">
        <f t="shared" si="16"/>
        <v>#DIV/0!</v>
      </c>
      <c r="BQ68" s="42">
        <f t="shared" si="17"/>
        <v>0</v>
      </c>
    </row>
    <row r="69" spans="1:69">
      <c r="A69" s="47">
        <f>A37</f>
        <v>100</v>
      </c>
      <c r="B69" s="30">
        <f t="shared" si="18"/>
        <v>2</v>
      </c>
      <c r="C69" s="19"/>
      <c r="D69" s="20"/>
      <c r="E69" s="5"/>
      <c r="F69" s="20"/>
      <c r="G69" s="5"/>
      <c r="H69" s="20"/>
      <c r="I69" s="5"/>
      <c r="J69" s="20"/>
      <c r="K69" s="5"/>
      <c r="L69" s="20"/>
      <c r="M69" s="5"/>
      <c r="N69" s="20"/>
      <c r="O69" s="5"/>
      <c r="P69" s="20"/>
      <c r="Q69" s="5"/>
      <c r="R69" s="20"/>
      <c r="S69" s="5"/>
      <c r="T69" s="20"/>
      <c r="U69" s="5"/>
      <c r="V69" s="20"/>
      <c r="W69" s="5"/>
      <c r="X69" s="20"/>
      <c r="Y69" s="5"/>
      <c r="Z69" s="20"/>
      <c r="AA69" s="5"/>
      <c r="AB69" s="20"/>
      <c r="AC69" s="5"/>
      <c r="AD69" s="20"/>
      <c r="AE69" s="5"/>
      <c r="AF69" s="20"/>
      <c r="AG69" s="5"/>
      <c r="AH69" s="20"/>
      <c r="AI69" s="5"/>
      <c r="AJ69" s="20"/>
      <c r="AK69" s="5"/>
      <c r="AL69" s="20"/>
      <c r="AM69" s="5"/>
      <c r="AN69" s="20"/>
      <c r="AO69" s="5"/>
      <c r="AP69" s="20"/>
      <c r="AQ69" s="5"/>
      <c r="AR69" s="20"/>
      <c r="AS69" s="5"/>
      <c r="AT69" s="20"/>
      <c r="AU69" s="5"/>
      <c r="AV69" s="20"/>
      <c r="AW69" s="5"/>
      <c r="AX69" s="20"/>
      <c r="AY69" s="5"/>
      <c r="AZ69" s="20"/>
      <c r="BA69" s="5"/>
      <c r="BB69" s="20"/>
      <c r="BC69" s="5"/>
      <c r="BD69" s="20"/>
      <c r="BE69" s="5"/>
      <c r="BF69" s="20"/>
      <c r="BG69" s="5"/>
      <c r="BH69" s="20"/>
      <c r="BI69" s="5"/>
      <c r="BJ69" s="20"/>
      <c r="BK69" s="5"/>
      <c r="BL69" s="20"/>
      <c r="BM69" s="5"/>
      <c r="BN69" s="21"/>
      <c r="BO69" s="25">
        <f t="shared" si="15"/>
        <v>0</v>
      </c>
      <c r="BP69" s="25" t="e">
        <f t="shared" si="16"/>
        <v>#DIV/0!</v>
      </c>
      <c r="BQ69" s="25">
        <f t="shared" si="17"/>
        <v>0</v>
      </c>
    </row>
    <row r="70" spans="1:69">
      <c r="A70" s="47">
        <f>A38</f>
        <v>100</v>
      </c>
      <c r="B70" s="30">
        <f t="shared" si="18"/>
        <v>3</v>
      </c>
      <c r="C70" s="19"/>
      <c r="D70" s="20"/>
      <c r="E70" s="5"/>
      <c r="F70" s="20"/>
      <c r="G70" s="5"/>
      <c r="H70" s="20"/>
      <c r="I70" s="5"/>
      <c r="J70" s="20"/>
      <c r="K70" s="5"/>
      <c r="L70" s="20"/>
      <c r="M70" s="5"/>
      <c r="N70" s="20"/>
      <c r="O70" s="5"/>
      <c r="P70" s="20"/>
      <c r="Q70" s="5"/>
      <c r="R70" s="20"/>
      <c r="S70" s="5"/>
      <c r="T70" s="20"/>
      <c r="U70" s="5"/>
      <c r="V70" s="20"/>
      <c r="W70" s="5"/>
      <c r="X70" s="20"/>
      <c r="Y70" s="5"/>
      <c r="Z70" s="20"/>
      <c r="AA70" s="5"/>
      <c r="AB70" s="20"/>
      <c r="AC70" s="5"/>
      <c r="AD70" s="20"/>
      <c r="AE70" s="5"/>
      <c r="AF70" s="20"/>
      <c r="AG70" s="5"/>
      <c r="AH70" s="20"/>
      <c r="AI70" s="5"/>
      <c r="AJ70" s="20"/>
      <c r="AK70" s="5"/>
      <c r="AL70" s="20"/>
      <c r="AM70" s="5"/>
      <c r="AN70" s="20"/>
      <c r="AO70" s="5"/>
      <c r="AP70" s="20"/>
      <c r="AQ70" s="5"/>
      <c r="AR70" s="20"/>
      <c r="AS70" s="5"/>
      <c r="AT70" s="20"/>
      <c r="AU70" s="5"/>
      <c r="AV70" s="20"/>
      <c r="AW70" s="5"/>
      <c r="AX70" s="20"/>
      <c r="AY70" s="5"/>
      <c r="AZ70" s="20"/>
      <c r="BA70" s="5"/>
      <c r="BB70" s="20"/>
      <c r="BC70" s="5"/>
      <c r="BD70" s="20"/>
      <c r="BE70" s="5"/>
      <c r="BF70" s="20"/>
      <c r="BG70" s="5"/>
      <c r="BH70" s="20"/>
      <c r="BI70" s="5"/>
      <c r="BJ70" s="20"/>
      <c r="BK70" s="5"/>
      <c r="BL70" s="20"/>
      <c r="BM70" s="5"/>
      <c r="BN70" s="21"/>
      <c r="BO70" s="25">
        <f t="shared" si="15"/>
        <v>0</v>
      </c>
      <c r="BP70" s="25" t="e">
        <f t="shared" si="16"/>
        <v>#DIV/0!</v>
      </c>
      <c r="BQ70" s="25">
        <f t="shared" si="17"/>
        <v>0</v>
      </c>
    </row>
    <row r="71" spans="1:69">
      <c r="A71" s="47">
        <f>A39</f>
        <v>100</v>
      </c>
      <c r="B71" s="30">
        <f t="shared" si="18"/>
        <v>5</v>
      </c>
      <c r="C71" s="19"/>
      <c r="D71" s="20"/>
      <c r="E71" s="5"/>
      <c r="F71" s="20"/>
      <c r="G71" s="5"/>
      <c r="H71" s="20"/>
      <c r="I71" s="5"/>
      <c r="J71" s="20"/>
      <c r="K71" s="5"/>
      <c r="L71" s="20"/>
      <c r="M71" s="5"/>
      <c r="N71" s="20"/>
      <c r="O71" s="5"/>
      <c r="P71" s="20"/>
      <c r="Q71" s="5"/>
      <c r="R71" s="20"/>
      <c r="S71" s="5"/>
      <c r="T71" s="20"/>
      <c r="U71" s="5"/>
      <c r="V71" s="20"/>
      <c r="W71" s="5"/>
      <c r="X71" s="20"/>
      <c r="Y71" s="5"/>
      <c r="Z71" s="20"/>
      <c r="AA71" s="5"/>
      <c r="AB71" s="20"/>
      <c r="AC71" s="5"/>
      <c r="AD71" s="20"/>
      <c r="AE71" s="5"/>
      <c r="AF71" s="20"/>
      <c r="AG71" s="5"/>
      <c r="AH71" s="20"/>
      <c r="AI71" s="5"/>
      <c r="AJ71" s="20"/>
      <c r="AK71" s="5"/>
      <c r="AL71" s="20"/>
      <c r="AM71" s="5"/>
      <c r="AN71" s="20"/>
      <c r="AO71" s="5"/>
      <c r="AP71" s="20"/>
      <c r="AQ71" s="5"/>
      <c r="AR71" s="20"/>
      <c r="AS71" s="5"/>
      <c r="AT71" s="20"/>
      <c r="AU71" s="5"/>
      <c r="AV71" s="20"/>
      <c r="AW71" s="5"/>
      <c r="AX71" s="20"/>
      <c r="AY71" s="5"/>
      <c r="AZ71" s="20"/>
      <c r="BA71" s="5"/>
      <c r="BB71" s="20"/>
      <c r="BC71" s="5"/>
      <c r="BD71" s="20"/>
      <c r="BE71" s="5"/>
      <c r="BF71" s="20"/>
      <c r="BG71" s="5"/>
      <c r="BH71" s="20"/>
      <c r="BI71" s="5"/>
      <c r="BJ71" s="20"/>
      <c r="BK71" s="5"/>
      <c r="BL71" s="20"/>
      <c r="BM71" s="5"/>
      <c r="BN71" s="21"/>
      <c r="BO71" s="25">
        <f t="shared" si="15"/>
        <v>0</v>
      </c>
      <c r="BP71" s="25" t="e">
        <f t="shared" si="16"/>
        <v>#DIV/0!</v>
      </c>
      <c r="BQ71" s="25">
        <f t="shared" si="17"/>
        <v>0</v>
      </c>
    </row>
    <row r="72" spans="1:69">
      <c r="A72" s="47">
        <v>100</v>
      </c>
      <c r="B72" s="30">
        <v>7</v>
      </c>
      <c r="C72" s="19"/>
      <c r="D72" s="20"/>
      <c r="E72" s="5"/>
      <c r="F72" s="20"/>
      <c r="G72" s="5"/>
      <c r="H72" s="20"/>
      <c r="I72" s="5"/>
      <c r="J72" s="20"/>
      <c r="K72" s="5"/>
      <c r="L72" s="20"/>
      <c r="M72" s="5"/>
      <c r="N72" s="20"/>
      <c r="O72" s="5"/>
      <c r="P72" s="20"/>
      <c r="Q72" s="5"/>
      <c r="R72" s="20"/>
      <c r="S72" s="5"/>
      <c r="T72" s="20"/>
      <c r="U72" s="5"/>
      <c r="V72" s="20"/>
      <c r="W72" s="5"/>
      <c r="X72" s="20"/>
      <c r="Y72" s="5"/>
      <c r="Z72" s="20"/>
      <c r="AA72" s="5"/>
      <c r="AB72" s="20"/>
      <c r="AC72" s="5"/>
      <c r="AD72" s="20"/>
      <c r="AE72" s="5"/>
      <c r="AF72" s="20"/>
      <c r="AG72" s="5"/>
      <c r="AH72" s="20"/>
      <c r="AI72" s="5"/>
      <c r="AJ72" s="20"/>
      <c r="AK72" s="5"/>
      <c r="AL72" s="20"/>
      <c r="AM72" s="5"/>
      <c r="AN72" s="20"/>
      <c r="AO72" s="5"/>
      <c r="AP72" s="20"/>
      <c r="AQ72" s="5"/>
      <c r="AR72" s="20"/>
      <c r="AS72" s="5"/>
      <c r="AT72" s="20"/>
      <c r="AU72" s="5"/>
      <c r="AV72" s="20"/>
      <c r="AW72" s="5"/>
      <c r="AX72" s="20"/>
      <c r="AY72" s="5"/>
      <c r="AZ72" s="20"/>
      <c r="BA72" s="5"/>
      <c r="BB72" s="20"/>
      <c r="BC72" s="5"/>
      <c r="BD72" s="20"/>
      <c r="BE72" s="5"/>
      <c r="BF72" s="20"/>
      <c r="BG72" s="5"/>
      <c r="BH72" s="20"/>
      <c r="BI72" s="5"/>
      <c r="BJ72" s="20"/>
      <c r="BK72" s="5"/>
      <c r="BL72" s="20"/>
      <c r="BM72" s="5"/>
      <c r="BN72" s="21"/>
      <c r="BO72" s="25">
        <f t="shared" ref="BO72:BO76" si="19">MIN(C72:BN72)</f>
        <v>0</v>
      </c>
      <c r="BP72" s="25" t="e">
        <f t="shared" ref="BP72:BP76" si="20">AVERAGE(C72:BN72)</f>
        <v>#DIV/0!</v>
      </c>
      <c r="BQ72" s="25">
        <f t="shared" ref="BQ72:BQ76" si="21">MAX(C72:BN72)</f>
        <v>0</v>
      </c>
    </row>
    <row r="73" spans="1:69">
      <c r="A73" s="47">
        <v>50</v>
      </c>
      <c r="B73" s="30">
        <v>10</v>
      </c>
      <c r="C73" s="19"/>
      <c r="D73" s="20"/>
      <c r="E73" s="5"/>
      <c r="F73" s="20"/>
      <c r="G73" s="5"/>
      <c r="H73" s="20"/>
      <c r="I73" s="5"/>
      <c r="J73" s="20"/>
      <c r="K73" s="5"/>
      <c r="L73" s="20"/>
      <c r="M73" s="5"/>
      <c r="N73" s="20"/>
      <c r="O73" s="5"/>
      <c r="P73" s="20"/>
      <c r="Q73" s="5"/>
      <c r="R73" s="20"/>
      <c r="S73" s="5"/>
      <c r="T73" s="20"/>
      <c r="U73" s="5"/>
      <c r="V73" s="20"/>
      <c r="W73" s="5"/>
      <c r="X73" s="20"/>
      <c r="Y73" s="5"/>
      <c r="Z73" s="20"/>
      <c r="AA73" s="5"/>
      <c r="AB73" s="20"/>
      <c r="AC73" s="5"/>
      <c r="AD73" s="20"/>
      <c r="AE73" s="5"/>
      <c r="AF73" s="20"/>
      <c r="AG73" s="5"/>
      <c r="AH73" s="20"/>
      <c r="AI73" s="5"/>
      <c r="AJ73" s="20"/>
      <c r="AK73" s="5"/>
      <c r="AL73" s="20"/>
      <c r="AM73" s="5"/>
      <c r="AN73" s="20"/>
      <c r="AO73" s="5"/>
      <c r="AP73" s="20"/>
      <c r="AQ73" s="5"/>
      <c r="AR73" s="20"/>
      <c r="AS73" s="5"/>
      <c r="AT73" s="20"/>
      <c r="AU73" s="5"/>
      <c r="AV73" s="20"/>
      <c r="AW73" s="5"/>
      <c r="AX73" s="20"/>
      <c r="AY73" s="5"/>
      <c r="AZ73" s="20"/>
      <c r="BA73" s="5"/>
      <c r="BB73" s="20"/>
      <c r="BC73" s="5"/>
      <c r="BD73" s="20"/>
      <c r="BE73" s="5"/>
      <c r="BF73" s="20"/>
      <c r="BG73" s="5"/>
      <c r="BH73" s="20"/>
      <c r="BI73" s="5"/>
      <c r="BJ73" s="20"/>
      <c r="BK73" s="5"/>
      <c r="BL73" s="20"/>
      <c r="BM73" s="5"/>
      <c r="BN73" s="21"/>
      <c r="BO73" s="25">
        <f t="shared" si="19"/>
        <v>0</v>
      </c>
      <c r="BP73" s="25" t="e">
        <f t="shared" si="20"/>
        <v>#DIV/0!</v>
      </c>
      <c r="BQ73" s="25">
        <f t="shared" si="21"/>
        <v>0</v>
      </c>
    </row>
    <row r="74" spans="1:69">
      <c r="A74" s="47">
        <v>50</v>
      </c>
      <c r="B74" s="30">
        <v>13</v>
      </c>
      <c r="C74" s="19"/>
      <c r="D74" s="20"/>
      <c r="E74" s="5"/>
      <c r="F74" s="20"/>
      <c r="G74" s="5"/>
      <c r="H74" s="20"/>
      <c r="I74" s="5"/>
      <c r="J74" s="20"/>
      <c r="K74" s="5"/>
      <c r="L74" s="20"/>
      <c r="M74" s="5"/>
      <c r="N74" s="20"/>
      <c r="O74" s="5"/>
      <c r="P74" s="20"/>
      <c r="Q74" s="5"/>
      <c r="R74" s="20"/>
      <c r="S74" s="5"/>
      <c r="T74" s="20"/>
      <c r="U74" s="5"/>
      <c r="V74" s="20"/>
      <c r="W74" s="5"/>
      <c r="X74" s="20"/>
      <c r="Y74" s="5"/>
      <c r="Z74" s="20"/>
      <c r="AA74" s="5"/>
      <c r="AB74" s="20"/>
      <c r="AC74" s="5"/>
      <c r="AD74" s="20"/>
      <c r="AE74" s="5"/>
      <c r="AF74" s="20"/>
      <c r="AG74" s="5"/>
      <c r="AH74" s="20"/>
      <c r="AI74" s="5"/>
      <c r="AJ74" s="20"/>
      <c r="AK74" s="5"/>
      <c r="AL74" s="20"/>
      <c r="AM74" s="5"/>
      <c r="AN74" s="20"/>
      <c r="AO74" s="5"/>
      <c r="AP74" s="20"/>
      <c r="AQ74" s="5"/>
      <c r="AR74" s="20"/>
      <c r="AS74" s="5"/>
      <c r="AT74" s="20"/>
      <c r="AU74" s="5"/>
      <c r="AV74" s="20"/>
      <c r="AW74" s="5"/>
      <c r="AX74" s="20"/>
      <c r="AY74" s="5"/>
      <c r="AZ74" s="20"/>
      <c r="BA74" s="5"/>
      <c r="BB74" s="20"/>
      <c r="BC74" s="5"/>
      <c r="BD74" s="20"/>
      <c r="BE74" s="5"/>
      <c r="BF74" s="20"/>
      <c r="BG74" s="5"/>
      <c r="BH74" s="20"/>
      <c r="BI74" s="5"/>
      <c r="BJ74" s="20"/>
      <c r="BK74" s="5"/>
      <c r="BL74" s="20"/>
      <c r="BM74" s="5"/>
      <c r="BN74" s="21"/>
      <c r="BO74" s="25">
        <f t="shared" si="19"/>
        <v>0</v>
      </c>
      <c r="BP74" s="25" t="e">
        <f t="shared" si="20"/>
        <v>#DIV/0!</v>
      </c>
      <c r="BQ74" s="25">
        <f t="shared" si="21"/>
        <v>0</v>
      </c>
    </row>
    <row r="75" spans="1:69">
      <c r="A75" s="47">
        <v>50</v>
      </c>
      <c r="B75" s="30">
        <v>15</v>
      </c>
      <c r="C75" s="19"/>
      <c r="D75" s="20"/>
      <c r="E75" s="5"/>
      <c r="F75" s="20"/>
      <c r="G75" s="5"/>
      <c r="H75" s="20"/>
      <c r="I75" s="5"/>
      <c r="J75" s="20"/>
      <c r="K75" s="5"/>
      <c r="L75" s="20"/>
      <c r="M75" s="5"/>
      <c r="N75" s="20"/>
      <c r="O75" s="5"/>
      <c r="P75" s="20"/>
      <c r="Q75" s="5"/>
      <c r="R75" s="20"/>
      <c r="S75" s="5"/>
      <c r="T75" s="20"/>
      <c r="U75" s="5"/>
      <c r="V75" s="20"/>
      <c r="W75" s="5"/>
      <c r="X75" s="20"/>
      <c r="Y75" s="5"/>
      <c r="Z75" s="20"/>
      <c r="AA75" s="5"/>
      <c r="AB75" s="20"/>
      <c r="AC75" s="5"/>
      <c r="AD75" s="20"/>
      <c r="AE75" s="5"/>
      <c r="AF75" s="20"/>
      <c r="AG75" s="5"/>
      <c r="AH75" s="20"/>
      <c r="AI75" s="5"/>
      <c r="AJ75" s="20"/>
      <c r="AK75" s="5"/>
      <c r="AL75" s="20"/>
      <c r="AM75" s="5"/>
      <c r="AN75" s="20"/>
      <c r="AO75" s="5"/>
      <c r="AP75" s="20"/>
      <c r="AQ75" s="5"/>
      <c r="AR75" s="20"/>
      <c r="AS75" s="5"/>
      <c r="AT75" s="20"/>
      <c r="AU75" s="5"/>
      <c r="AV75" s="20"/>
      <c r="AW75" s="5"/>
      <c r="AX75" s="20"/>
      <c r="AY75" s="5"/>
      <c r="AZ75" s="20"/>
      <c r="BA75" s="5"/>
      <c r="BB75" s="20"/>
      <c r="BC75" s="5"/>
      <c r="BD75" s="20"/>
      <c r="BE75" s="5"/>
      <c r="BF75" s="20"/>
      <c r="BG75" s="5"/>
      <c r="BH75" s="20"/>
      <c r="BI75" s="5"/>
      <c r="BJ75" s="20"/>
      <c r="BK75" s="5"/>
      <c r="BL75" s="20"/>
      <c r="BM75" s="5"/>
      <c r="BN75" s="21"/>
      <c r="BO75" s="25">
        <f t="shared" si="19"/>
        <v>0</v>
      </c>
      <c r="BP75" s="25" t="e">
        <f t="shared" si="20"/>
        <v>#DIV/0!</v>
      </c>
      <c r="BQ75" s="25">
        <f t="shared" si="21"/>
        <v>0</v>
      </c>
    </row>
    <row r="76" spans="1:69">
      <c r="A76" s="47">
        <v>50</v>
      </c>
      <c r="B76" s="30">
        <v>20</v>
      </c>
      <c r="C76" s="19"/>
      <c r="D76" s="20"/>
      <c r="E76" s="5"/>
      <c r="F76" s="20"/>
      <c r="G76" s="5"/>
      <c r="H76" s="20"/>
      <c r="I76" s="5"/>
      <c r="J76" s="20"/>
      <c r="K76" s="5"/>
      <c r="L76" s="20"/>
      <c r="M76" s="5"/>
      <c r="N76" s="20"/>
      <c r="O76" s="5"/>
      <c r="P76" s="20"/>
      <c r="Q76" s="5"/>
      <c r="R76" s="20"/>
      <c r="S76" s="5"/>
      <c r="T76" s="20"/>
      <c r="U76" s="5"/>
      <c r="V76" s="20"/>
      <c r="W76" s="5"/>
      <c r="X76" s="20"/>
      <c r="Y76" s="5"/>
      <c r="Z76" s="20"/>
      <c r="AA76" s="5"/>
      <c r="AB76" s="20"/>
      <c r="AC76" s="5"/>
      <c r="AD76" s="20"/>
      <c r="AE76" s="5"/>
      <c r="AF76" s="20"/>
      <c r="AG76" s="5"/>
      <c r="AH76" s="20"/>
      <c r="AI76" s="5"/>
      <c r="AJ76" s="20"/>
      <c r="AK76" s="5"/>
      <c r="AL76" s="20"/>
      <c r="AM76" s="5"/>
      <c r="AN76" s="20"/>
      <c r="AO76" s="5"/>
      <c r="AP76" s="20"/>
      <c r="AQ76" s="5"/>
      <c r="AR76" s="20"/>
      <c r="AS76" s="5"/>
      <c r="AT76" s="20"/>
      <c r="AU76" s="5"/>
      <c r="AV76" s="20"/>
      <c r="AW76" s="5"/>
      <c r="AX76" s="20"/>
      <c r="AY76" s="5"/>
      <c r="AZ76" s="20"/>
      <c r="BA76" s="5"/>
      <c r="BB76" s="20"/>
      <c r="BC76" s="5"/>
      <c r="BD76" s="20"/>
      <c r="BE76" s="5"/>
      <c r="BF76" s="20"/>
      <c r="BG76" s="5"/>
      <c r="BH76" s="20"/>
      <c r="BI76" s="5"/>
      <c r="BJ76" s="20"/>
      <c r="BK76" s="5"/>
      <c r="BL76" s="20"/>
      <c r="BM76" s="5"/>
      <c r="BN76" s="21"/>
      <c r="BO76" s="25">
        <f t="shared" si="19"/>
        <v>0</v>
      </c>
      <c r="BP76" s="25" t="e">
        <f t="shared" si="20"/>
        <v>#DIV/0!</v>
      </c>
      <c r="BQ76" s="25">
        <f t="shared" si="21"/>
        <v>0</v>
      </c>
    </row>
    <row r="77" spans="1:69">
      <c r="D77" s="5"/>
      <c r="E77" s="5"/>
      <c r="F77" s="5"/>
      <c r="G77" s="5"/>
      <c r="H77" s="5"/>
      <c r="I77" s="5"/>
      <c r="J77" s="5"/>
      <c r="K77" s="5"/>
      <c r="L77" s="5"/>
      <c r="M77" s="5"/>
    </row>
    <row r="78" spans="1:69" ht="30">
      <c r="A78" s="46" t="s">
        <v>34</v>
      </c>
      <c r="B78" s="26" t="s">
        <v>104</v>
      </c>
      <c r="C78" s="27" t="str">
        <f t="shared" ref="C78:AH78" si="22">C14</f>
        <v>Part 1 Fwd</v>
      </c>
      <c r="D78" s="28" t="str">
        <f t="shared" si="22"/>
        <v>Part 1 Rev</v>
      </c>
      <c r="E78" s="27" t="str">
        <f t="shared" si="22"/>
        <v>Part 2 Fwd</v>
      </c>
      <c r="F78" s="28" t="str">
        <f t="shared" si="22"/>
        <v>Part 2 Rev</v>
      </c>
      <c r="G78" s="27" t="str">
        <f t="shared" si="22"/>
        <v>Part 3 Fwd</v>
      </c>
      <c r="H78" s="28" t="str">
        <f t="shared" si="22"/>
        <v>Part 3 Rev</v>
      </c>
      <c r="I78" s="27" t="str">
        <f t="shared" si="22"/>
        <v>Part 4 Fwd</v>
      </c>
      <c r="J78" s="28" t="str">
        <f t="shared" si="22"/>
        <v>Part 4 Rev</v>
      </c>
      <c r="K78" s="27" t="str">
        <f t="shared" si="22"/>
        <v>Part 5 Fwd</v>
      </c>
      <c r="L78" s="28" t="str">
        <f t="shared" si="22"/>
        <v>Part 5 Rev</v>
      </c>
      <c r="M78" s="27" t="str">
        <f t="shared" si="22"/>
        <v>Part 6 Fwd</v>
      </c>
      <c r="N78" s="28" t="str">
        <f t="shared" si="22"/>
        <v>Part 6 Rev</v>
      </c>
      <c r="O78" s="27" t="str">
        <f t="shared" si="22"/>
        <v>Part 7 Fwd</v>
      </c>
      <c r="P78" s="28" t="str">
        <f t="shared" si="22"/>
        <v>Part 7 Rev</v>
      </c>
      <c r="Q78" s="27" t="str">
        <f t="shared" si="22"/>
        <v>Part 8 Fwd</v>
      </c>
      <c r="R78" s="28" t="str">
        <f t="shared" si="22"/>
        <v>Part 8 Rev</v>
      </c>
      <c r="S78" s="27" t="str">
        <f t="shared" si="22"/>
        <v>Part 9 Fwd</v>
      </c>
      <c r="T78" s="28" t="str">
        <f t="shared" si="22"/>
        <v>Part 9 Rev</v>
      </c>
      <c r="U78" s="27" t="str">
        <f t="shared" si="22"/>
        <v>Part 10 Fwd</v>
      </c>
      <c r="V78" s="28" t="str">
        <f t="shared" si="22"/>
        <v>Part 10 Rev</v>
      </c>
      <c r="W78" s="27" t="str">
        <f t="shared" si="22"/>
        <v>Part 11 Fwd</v>
      </c>
      <c r="X78" s="28" t="str">
        <f t="shared" si="22"/>
        <v>Part 11 Rev</v>
      </c>
      <c r="Y78" s="27" t="str">
        <f t="shared" si="22"/>
        <v>Part 12 Fwd</v>
      </c>
      <c r="Z78" s="28" t="str">
        <f t="shared" si="22"/>
        <v>Part 12 Rev</v>
      </c>
      <c r="AA78" s="27" t="str">
        <f t="shared" si="22"/>
        <v>Part 13 Fwd</v>
      </c>
      <c r="AB78" s="28" t="str">
        <f t="shared" si="22"/>
        <v>Part 13 Rev</v>
      </c>
      <c r="AC78" s="27" t="str">
        <f t="shared" si="22"/>
        <v>Part 14 Fwd</v>
      </c>
      <c r="AD78" s="28" t="str">
        <f t="shared" si="22"/>
        <v>Part 14 Rev</v>
      </c>
      <c r="AE78" s="27" t="str">
        <f t="shared" si="22"/>
        <v>Part 15 Fwd</v>
      </c>
      <c r="AF78" s="28" t="str">
        <f t="shared" si="22"/>
        <v>Part 15 Rev</v>
      </c>
      <c r="AG78" s="27" t="str">
        <f t="shared" si="22"/>
        <v>Part 16 Fwd</v>
      </c>
      <c r="AH78" s="28" t="str">
        <f t="shared" si="22"/>
        <v>Part 16 Rev</v>
      </c>
      <c r="AI78" s="27" t="str">
        <f t="shared" ref="AI78:BN78" si="23">AI14</f>
        <v>Part 17 Fwd</v>
      </c>
      <c r="AJ78" s="28" t="str">
        <f t="shared" si="23"/>
        <v>Part 17 Rev</v>
      </c>
      <c r="AK78" s="27" t="str">
        <f t="shared" si="23"/>
        <v>Part 18 Fwd</v>
      </c>
      <c r="AL78" s="28" t="str">
        <f t="shared" si="23"/>
        <v>Part 18 Rev</v>
      </c>
      <c r="AM78" s="27" t="str">
        <f t="shared" si="23"/>
        <v>Part 19 Fwd</v>
      </c>
      <c r="AN78" s="28" t="str">
        <f t="shared" si="23"/>
        <v>Part 19 Rev</v>
      </c>
      <c r="AO78" s="27" t="str">
        <f t="shared" si="23"/>
        <v>Part 20 Fwd</v>
      </c>
      <c r="AP78" s="28" t="str">
        <f t="shared" si="23"/>
        <v>Part 20 Rev</v>
      </c>
      <c r="AQ78" s="27" t="str">
        <f t="shared" si="23"/>
        <v>Part 21 Fwd</v>
      </c>
      <c r="AR78" s="28" t="str">
        <f t="shared" si="23"/>
        <v>Part 21 Rev</v>
      </c>
      <c r="AS78" s="27" t="str">
        <f t="shared" si="23"/>
        <v>Part 22 Fwd</v>
      </c>
      <c r="AT78" s="28" t="str">
        <f t="shared" si="23"/>
        <v>Part 22 Rev</v>
      </c>
      <c r="AU78" s="27" t="str">
        <f t="shared" si="23"/>
        <v>Part 23 Fwd</v>
      </c>
      <c r="AV78" s="28" t="str">
        <f t="shared" si="23"/>
        <v>Part 23 Rev</v>
      </c>
      <c r="AW78" s="27" t="str">
        <f t="shared" si="23"/>
        <v>Part 24 Fwd</v>
      </c>
      <c r="AX78" s="28" t="str">
        <f t="shared" si="23"/>
        <v>Part 24 Rev</v>
      </c>
      <c r="AY78" s="27" t="str">
        <f t="shared" si="23"/>
        <v>Part 25 Fwd</v>
      </c>
      <c r="AZ78" s="28" t="str">
        <f t="shared" si="23"/>
        <v>Part 25 Rev</v>
      </c>
      <c r="BA78" s="27" t="str">
        <f t="shared" si="23"/>
        <v>Part 26 Fwd</v>
      </c>
      <c r="BB78" s="28" t="str">
        <f t="shared" si="23"/>
        <v>Part 26 Rev</v>
      </c>
      <c r="BC78" s="27" t="str">
        <f t="shared" si="23"/>
        <v>Part 27 Fwd</v>
      </c>
      <c r="BD78" s="28" t="str">
        <f t="shared" si="23"/>
        <v>Part 27 Rev</v>
      </c>
      <c r="BE78" s="27" t="str">
        <f t="shared" si="23"/>
        <v>Part 28 Fwd</v>
      </c>
      <c r="BF78" s="28" t="str">
        <f t="shared" si="23"/>
        <v>Part 28 Rev</v>
      </c>
      <c r="BG78" s="27" t="str">
        <f t="shared" si="23"/>
        <v>Part 29 Fwd</v>
      </c>
      <c r="BH78" s="28" t="str">
        <f t="shared" si="23"/>
        <v>Part 29 Rev</v>
      </c>
      <c r="BI78" s="27" t="str">
        <f t="shared" si="23"/>
        <v>Part 30 Fwd</v>
      </c>
      <c r="BJ78" s="28" t="str">
        <f t="shared" si="23"/>
        <v>Part 30 Rev</v>
      </c>
      <c r="BK78" s="27" t="str">
        <f t="shared" si="23"/>
        <v>Part 31 Fwd</v>
      </c>
      <c r="BL78" s="28" t="str">
        <f t="shared" si="23"/>
        <v>Part 31 Rev</v>
      </c>
      <c r="BM78" s="27" t="str">
        <f t="shared" si="23"/>
        <v>Part 32 Fwd</v>
      </c>
      <c r="BN78" s="28" t="str">
        <f t="shared" si="23"/>
        <v>Part 32 Rev</v>
      </c>
      <c r="BO78" s="24" t="s">
        <v>100</v>
      </c>
      <c r="BP78" s="24" t="s">
        <v>101</v>
      </c>
      <c r="BQ78" s="24" t="s">
        <v>102</v>
      </c>
    </row>
    <row r="79" spans="1:69" ht="13.5" customHeight="1">
      <c r="A79" s="63">
        <v>1000</v>
      </c>
      <c r="B79" s="62">
        <f>$C$8</f>
        <v>0</v>
      </c>
      <c r="C79" s="64">
        <f t="shared" ref="C79:AH79" si="24">IF(ISERROR((C47-C15)/C15),0,((C47-C15)/C15))</f>
        <v>0</v>
      </c>
      <c r="D79" s="59">
        <f t="shared" si="24"/>
        <v>0</v>
      </c>
      <c r="E79" s="65">
        <f t="shared" si="24"/>
        <v>0</v>
      </c>
      <c r="F79" s="59">
        <f t="shared" si="24"/>
        <v>0</v>
      </c>
      <c r="G79" s="65">
        <f t="shared" si="24"/>
        <v>0</v>
      </c>
      <c r="H79" s="59">
        <f t="shared" si="24"/>
        <v>0</v>
      </c>
      <c r="I79" s="65">
        <f t="shared" si="24"/>
        <v>0</v>
      </c>
      <c r="J79" s="59">
        <f t="shared" si="24"/>
        <v>0</v>
      </c>
      <c r="K79" s="65">
        <f t="shared" si="24"/>
        <v>0</v>
      </c>
      <c r="L79" s="59">
        <f t="shared" si="24"/>
        <v>0</v>
      </c>
      <c r="M79" s="65">
        <f t="shared" si="24"/>
        <v>0</v>
      </c>
      <c r="N79" s="59">
        <f t="shared" si="24"/>
        <v>0</v>
      </c>
      <c r="O79" s="65">
        <f t="shared" si="24"/>
        <v>0</v>
      </c>
      <c r="P79" s="59">
        <f t="shared" si="24"/>
        <v>0</v>
      </c>
      <c r="Q79" s="65">
        <f t="shared" si="24"/>
        <v>0</v>
      </c>
      <c r="R79" s="59">
        <f t="shared" si="24"/>
        <v>0</v>
      </c>
      <c r="S79" s="65">
        <f t="shared" si="24"/>
        <v>0</v>
      </c>
      <c r="T79" s="59">
        <f t="shared" si="24"/>
        <v>0</v>
      </c>
      <c r="U79" s="65">
        <f t="shared" si="24"/>
        <v>0</v>
      </c>
      <c r="V79" s="59">
        <f t="shared" si="24"/>
        <v>0</v>
      </c>
      <c r="W79" s="65">
        <f t="shared" si="24"/>
        <v>0</v>
      </c>
      <c r="X79" s="59">
        <f t="shared" si="24"/>
        <v>0</v>
      </c>
      <c r="Y79" s="65">
        <f t="shared" si="24"/>
        <v>0</v>
      </c>
      <c r="Z79" s="59">
        <f t="shared" si="24"/>
        <v>0</v>
      </c>
      <c r="AA79" s="65">
        <f t="shared" si="24"/>
        <v>0</v>
      </c>
      <c r="AB79" s="59">
        <f t="shared" si="24"/>
        <v>0</v>
      </c>
      <c r="AC79" s="65">
        <f t="shared" si="24"/>
        <v>0</v>
      </c>
      <c r="AD79" s="59">
        <f t="shared" si="24"/>
        <v>0</v>
      </c>
      <c r="AE79" s="65">
        <f t="shared" si="24"/>
        <v>0</v>
      </c>
      <c r="AF79" s="59">
        <f t="shared" si="24"/>
        <v>0</v>
      </c>
      <c r="AG79" s="65">
        <f t="shared" si="24"/>
        <v>0</v>
      </c>
      <c r="AH79" s="59">
        <f t="shared" si="24"/>
        <v>0</v>
      </c>
      <c r="AI79" s="65">
        <f t="shared" ref="AI79:BN79" si="25">IF(ISERROR((AI47-AI15)/AI15),0,((AI47-AI15)/AI15))</f>
        <v>0</v>
      </c>
      <c r="AJ79" s="59">
        <f t="shared" si="25"/>
        <v>0</v>
      </c>
      <c r="AK79" s="65">
        <f t="shared" si="25"/>
        <v>0</v>
      </c>
      <c r="AL79" s="59">
        <f t="shared" si="25"/>
        <v>0</v>
      </c>
      <c r="AM79" s="65">
        <f t="shared" si="25"/>
        <v>0</v>
      </c>
      <c r="AN79" s="59">
        <f t="shared" si="25"/>
        <v>0</v>
      </c>
      <c r="AO79" s="65">
        <f t="shared" si="25"/>
        <v>0</v>
      </c>
      <c r="AP79" s="59">
        <f t="shared" si="25"/>
        <v>0</v>
      </c>
      <c r="AQ79" s="65">
        <f t="shared" si="25"/>
        <v>0</v>
      </c>
      <c r="AR79" s="59">
        <f t="shared" si="25"/>
        <v>0</v>
      </c>
      <c r="AS79" s="65">
        <f t="shared" si="25"/>
        <v>0</v>
      </c>
      <c r="AT79" s="59">
        <f t="shared" si="25"/>
        <v>0</v>
      </c>
      <c r="AU79" s="65">
        <f t="shared" si="25"/>
        <v>0</v>
      </c>
      <c r="AV79" s="59">
        <f t="shared" si="25"/>
        <v>0</v>
      </c>
      <c r="AW79" s="65">
        <f t="shared" si="25"/>
        <v>0</v>
      </c>
      <c r="AX79" s="59">
        <f t="shared" si="25"/>
        <v>0</v>
      </c>
      <c r="AY79" s="65">
        <f t="shared" si="25"/>
        <v>0</v>
      </c>
      <c r="AZ79" s="59">
        <f t="shared" si="25"/>
        <v>0</v>
      </c>
      <c r="BA79" s="65">
        <f t="shared" si="25"/>
        <v>0</v>
      </c>
      <c r="BB79" s="59">
        <f t="shared" si="25"/>
        <v>0</v>
      </c>
      <c r="BC79" s="65">
        <f t="shared" si="25"/>
        <v>0</v>
      </c>
      <c r="BD79" s="59">
        <f t="shared" si="25"/>
        <v>0</v>
      </c>
      <c r="BE79" s="65">
        <f t="shared" si="25"/>
        <v>0</v>
      </c>
      <c r="BF79" s="59">
        <f t="shared" si="25"/>
        <v>0</v>
      </c>
      <c r="BG79" s="65">
        <f t="shared" si="25"/>
        <v>0</v>
      </c>
      <c r="BH79" s="59">
        <f t="shared" si="25"/>
        <v>0</v>
      </c>
      <c r="BI79" s="65">
        <f t="shared" si="25"/>
        <v>0</v>
      </c>
      <c r="BJ79" s="59">
        <f t="shared" si="25"/>
        <v>0</v>
      </c>
      <c r="BK79" s="65">
        <f t="shared" si="25"/>
        <v>0</v>
      </c>
      <c r="BL79" s="59">
        <f t="shared" si="25"/>
        <v>0</v>
      </c>
      <c r="BM79" s="65">
        <f t="shared" si="25"/>
        <v>0</v>
      </c>
      <c r="BN79" s="59">
        <f t="shared" si="25"/>
        <v>0</v>
      </c>
      <c r="BO79" s="98">
        <f t="shared" ref="BO79" si="26">MIN(C79:BN79)</f>
        <v>0</v>
      </c>
      <c r="BP79" s="98">
        <f t="shared" ref="BP79" si="27">AVERAGE(C79:BN79)</f>
        <v>0</v>
      </c>
      <c r="BQ79" s="98">
        <f t="shared" ref="BQ79" si="28">MAX(C79:BN79)</f>
        <v>0</v>
      </c>
    </row>
    <row r="80" spans="1:69">
      <c r="A80" s="47">
        <f>A16</f>
        <v>2000</v>
      </c>
      <c r="B80" s="30">
        <v>1E-4</v>
      </c>
      <c r="C80" s="69">
        <f t="shared" ref="C80:AH80" si="29">IF(ISERROR((C48-C16)/C16),0,((C48-C16)/C16))</f>
        <v>0</v>
      </c>
      <c r="D80" s="60">
        <f t="shared" si="29"/>
        <v>0</v>
      </c>
      <c r="E80" s="70">
        <f t="shared" si="29"/>
        <v>0</v>
      </c>
      <c r="F80" s="60">
        <f t="shared" si="29"/>
        <v>0</v>
      </c>
      <c r="G80" s="70">
        <f t="shared" si="29"/>
        <v>0</v>
      </c>
      <c r="H80" s="60">
        <f t="shared" si="29"/>
        <v>0</v>
      </c>
      <c r="I80" s="70">
        <f t="shared" si="29"/>
        <v>0</v>
      </c>
      <c r="J80" s="60">
        <f t="shared" si="29"/>
        <v>0</v>
      </c>
      <c r="K80" s="70">
        <f t="shared" si="29"/>
        <v>0</v>
      </c>
      <c r="L80" s="60">
        <f t="shared" si="29"/>
        <v>0</v>
      </c>
      <c r="M80" s="70">
        <f t="shared" si="29"/>
        <v>0</v>
      </c>
      <c r="N80" s="60">
        <f t="shared" si="29"/>
        <v>0</v>
      </c>
      <c r="O80" s="70">
        <f t="shared" si="29"/>
        <v>0</v>
      </c>
      <c r="P80" s="60">
        <f t="shared" si="29"/>
        <v>0</v>
      </c>
      <c r="Q80" s="70">
        <f t="shared" si="29"/>
        <v>0</v>
      </c>
      <c r="R80" s="60">
        <f t="shared" si="29"/>
        <v>0</v>
      </c>
      <c r="S80" s="70">
        <f t="shared" si="29"/>
        <v>0</v>
      </c>
      <c r="T80" s="60">
        <f t="shared" si="29"/>
        <v>0</v>
      </c>
      <c r="U80" s="70">
        <f t="shared" si="29"/>
        <v>0</v>
      </c>
      <c r="V80" s="60">
        <f t="shared" si="29"/>
        <v>0</v>
      </c>
      <c r="W80" s="70">
        <f t="shared" si="29"/>
        <v>0</v>
      </c>
      <c r="X80" s="60">
        <f t="shared" si="29"/>
        <v>0</v>
      </c>
      <c r="Y80" s="70">
        <f t="shared" si="29"/>
        <v>0</v>
      </c>
      <c r="Z80" s="60">
        <f t="shared" si="29"/>
        <v>0</v>
      </c>
      <c r="AA80" s="70">
        <f t="shared" si="29"/>
        <v>0</v>
      </c>
      <c r="AB80" s="60">
        <f t="shared" si="29"/>
        <v>0</v>
      </c>
      <c r="AC80" s="70">
        <f t="shared" si="29"/>
        <v>0</v>
      </c>
      <c r="AD80" s="60">
        <f t="shared" si="29"/>
        <v>0</v>
      </c>
      <c r="AE80" s="70">
        <f t="shared" si="29"/>
        <v>0</v>
      </c>
      <c r="AF80" s="60">
        <f t="shared" si="29"/>
        <v>0</v>
      </c>
      <c r="AG80" s="70">
        <f t="shared" si="29"/>
        <v>0</v>
      </c>
      <c r="AH80" s="60">
        <f t="shared" si="29"/>
        <v>0</v>
      </c>
      <c r="AI80" s="70">
        <f t="shared" ref="AI80:BN80" si="30">IF(ISERROR((AI48-AI16)/AI16),0,((AI48-AI16)/AI16))</f>
        <v>0</v>
      </c>
      <c r="AJ80" s="60">
        <f t="shared" si="30"/>
        <v>0</v>
      </c>
      <c r="AK80" s="70">
        <f t="shared" si="30"/>
        <v>0</v>
      </c>
      <c r="AL80" s="60">
        <f t="shared" si="30"/>
        <v>0</v>
      </c>
      <c r="AM80" s="70">
        <f t="shared" si="30"/>
        <v>0</v>
      </c>
      <c r="AN80" s="60">
        <f t="shared" si="30"/>
        <v>0</v>
      </c>
      <c r="AO80" s="70">
        <f t="shared" si="30"/>
        <v>0</v>
      </c>
      <c r="AP80" s="60">
        <f t="shared" si="30"/>
        <v>0</v>
      </c>
      <c r="AQ80" s="70">
        <f t="shared" si="30"/>
        <v>0</v>
      </c>
      <c r="AR80" s="60">
        <f t="shared" si="30"/>
        <v>0</v>
      </c>
      <c r="AS80" s="70">
        <f t="shared" si="30"/>
        <v>0</v>
      </c>
      <c r="AT80" s="60">
        <f t="shared" si="30"/>
        <v>0</v>
      </c>
      <c r="AU80" s="70">
        <f t="shared" si="30"/>
        <v>0</v>
      </c>
      <c r="AV80" s="60">
        <f t="shared" si="30"/>
        <v>0</v>
      </c>
      <c r="AW80" s="70">
        <f t="shared" si="30"/>
        <v>0</v>
      </c>
      <c r="AX80" s="60">
        <f t="shared" si="30"/>
        <v>0</v>
      </c>
      <c r="AY80" s="70">
        <f t="shared" si="30"/>
        <v>0</v>
      </c>
      <c r="AZ80" s="60">
        <f t="shared" si="30"/>
        <v>0</v>
      </c>
      <c r="BA80" s="70">
        <f t="shared" si="30"/>
        <v>0</v>
      </c>
      <c r="BB80" s="60">
        <f t="shared" si="30"/>
        <v>0</v>
      </c>
      <c r="BC80" s="70">
        <f t="shared" si="30"/>
        <v>0</v>
      </c>
      <c r="BD80" s="60">
        <f t="shared" si="30"/>
        <v>0</v>
      </c>
      <c r="BE80" s="70">
        <f t="shared" si="30"/>
        <v>0</v>
      </c>
      <c r="BF80" s="60">
        <f t="shared" si="30"/>
        <v>0</v>
      </c>
      <c r="BG80" s="70">
        <f t="shared" si="30"/>
        <v>0</v>
      </c>
      <c r="BH80" s="60">
        <f t="shared" si="30"/>
        <v>0</v>
      </c>
      <c r="BI80" s="70">
        <f t="shared" si="30"/>
        <v>0</v>
      </c>
      <c r="BJ80" s="60">
        <f t="shared" si="30"/>
        <v>0</v>
      </c>
      <c r="BK80" s="70">
        <f t="shared" si="30"/>
        <v>0</v>
      </c>
      <c r="BL80" s="60">
        <f t="shared" si="30"/>
        <v>0</v>
      </c>
      <c r="BM80" s="70">
        <f t="shared" si="30"/>
        <v>0</v>
      </c>
      <c r="BN80" s="60">
        <f t="shared" si="30"/>
        <v>0</v>
      </c>
      <c r="BO80" s="99">
        <f t="shared" ref="BO80:BO108" si="31">MIN(C80:BN80)</f>
        <v>0</v>
      </c>
      <c r="BP80" s="99">
        <f t="shared" ref="BP80:BP108" si="32">AVERAGE(C80:BN80)</f>
        <v>0</v>
      </c>
      <c r="BQ80" s="99">
        <f t="shared" ref="BQ80:BQ108" si="33">MAX(C80:BN80)</f>
        <v>0</v>
      </c>
    </row>
    <row r="81" spans="1:69">
      <c r="A81" s="47">
        <f>A17</f>
        <v>1500</v>
      </c>
      <c r="B81" s="30">
        <v>2.0000000000000001E-4</v>
      </c>
      <c r="C81" s="69">
        <f t="shared" ref="C81:AH81" si="34">IF(ISERROR((C49-C17)/C17),0,((C49-C17)/C17))</f>
        <v>0</v>
      </c>
      <c r="D81" s="60">
        <f t="shared" si="34"/>
        <v>0</v>
      </c>
      <c r="E81" s="70">
        <f t="shared" si="34"/>
        <v>0</v>
      </c>
      <c r="F81" s="60">
        <f t="shared" si="34"/>
        <v>0</v>
      </c>
      <c r="G81" s="70">
        <f t="shared" si="34"/>
        <v>0</v>
      </c>
      <c r="H81" s="60">
        <f t="shared" si="34"/>
        <v>0</v>
      </c>
      <c r="I81" s="70">
        <f t="shared" si="34"/>
        <v>0</v>
      </c>
      <c r="J81" s="60">
        <f t="shared" si="34"/>
        <v>0</v>
      </c>
      <c r="K81" s="70">
        <f t="shared" si="34"/>
        <v>0</v>
      </c>
      <c r="L81" s="60">
        <f t="shared" si="34"/>
        <v>0</v>
      </c>
      <c r="M81" s="70">
        <f t="shared" si="34"/>
        <v>0</v>
      </c>
      <c r="N81" s="60">
        <f t="shared" si="34"/>
        <v>0</v>
      </c>
      <c r="O81" s="70">
        <f t="shared" si="34"/>
        <v>0</v>
      </c>
      <c r="P81" s="60">
        <f t="shared" si="34"/>
        <v>0</v>
      </c>
      <c r="Q81" s="70">
        <f t="shared" si="34"/>
        <v>0</v>
      </c>
      <c r="R81" s="60">
        <f t="shared" si="34"/>
        <v>0</v>
      </c>
      <c r="S81" s="70">
        <f t="shared" si="34"/>
        <v>0</v>
      </c>
      <c r="T81" s="60">
        <f t="shared" si="34"/>
        <v>0</v>
      </c>
      <c r="U81" s="70">
        <f t="shared" si="34"/>
        <v>0</v>
      </c>
      <c r="V81" s="60">
        <f t="shared" si="34"/>
        <v>0</v>
      </c>
      <c r="W81" s="70">
        <f t="shared" si="34"/>
        <v>0</v>
      </c>
      <c r="X81" s="60">
        <f t="shared" si="34"/>
        <v>0</v>
      </c>
      <c r="Y81" s="70">
        <f t="shared" si="34"/>
        <v>0</v>
      </c>
      <c r="Z81" s="60">
        <f t="shared" si="34"/>
        <v>0</v>
      </c>
      <c r="AA81" s="70">
        <f t="shared" si="34"/>
        <v>0</v>
      </c>
      <c r="AB81" s="60">
        <f t="shared" si="34"/>
        <v>0</v>
      </c>
      <c r="AC81" s="70">
        <f t="shared" si="34"/>
        <v>0</v>
      </c>
      <c r="AD81" s="60">
        <f t="shared" si="34"/>
        <v>0</v>
      </c>
      <c r="AE81" s="70">
        <f t="shared" si="34"/>
        <v>0</v>
      </c>
      <c r="AF81" s="60">
        <f t="shared" si="34"/>
        <v>0</v>
      </c>
      <c r="AG81" s="70">
        <f t="shared" si="34"/>
        <v>0</v>
      </c>
      <c r="AH81" s="60">
        <f t="shared" si="34"/>
        <v>0</v>
      </c>
      <c r="AI81" s="70">
        <f t="shared" ref="AI81:BN81" si="35">IF(ISERROR((AI49-AI17)/AI17),0,((AI49-AI17)/AI17))</f>
        <v>0</v>
      </c>
      <c r="AJ81" s="60">
        <f t="shared" si="35"/>
        <v>0</v>
      </c>
      <c r="AK81" s="70">
        <f t="shared" si="35"/>
        <v>0</v>
      </c>
      <c r="AL81" s="60">
        <f t="shared" si="35"/>
        <v>0</v>
      </c>
      <c r="AM81" s="70">
        <f t="shared" si="35"/>
        <v>0</v>
      </c>
      <c r="AN81" s="60">
        <f t="shared" si="35"/>
        <v>0</v>
      </c>
      <c r="AO81" s="70">
        <f t="shared" si="35"/>
        <v>0</v>
      </c>
      <c r="AP81" s="60">
        <f t="shared" si="35"/>
        <v>0</v>
      </c>
      <c r="AQ81" s="70">
        <f t="shared" si="35"/>
        <v>0</v>
      </c>
      <c r="AR81" s="60">
        <f t="shared" si="35"/>
        <v>0</v>
      </c>
      <c r="AS81" s="70">
        <f t="shared" si="35"/>
        <v>0</v>
      </c>
      <c r="AT81" s="60">
        <f t="shared" si="35"/>
        <v>0</v>
      </c>
      <c r="AU81" s="70">
        <f t="shared" si="35"/>
        <v>0</v>
      </c>
      <c r="AV81" s="60">
        <f t="shared" si="35"/>
        <v>0</v>
      </c>
      <c r="AW81" s="70">
        <f t="shared" si="35"/>
        <v>0</v>
      </c>
      <c r="AX81" s="60">
        <f t="shared" si="35"/>
        <v>0</v>
      </c>
      <c r="AY81" s="70">
        <f t="shared" si="35"/>
        <v>0</v>
      </c>
      <c r="AZ81" s="60">
        <f t="shared" si="35"/>
        <v>0</v>
      </c>
      <c r="BA81" s="70">
        <f t="shared" si="35"/>
        <v>0</v>
      </c>
      <c r="BB81" s="60">
        <f t="shared" si="35"/>
        <v>0</v>
      </c>
      <c r="BC81" s="70">
        <f t="shared" si="35"/>
        <v>0</v>
      </c>
      <c r="BD81" s="60">
        <f t="shared" si="35"/>
        <v>0</v>
      </c>
      <c r="BE81" s="70">
        <f t="shared" si="35"/>
        <v>0</v>
      </c>
      <c r="BF81" s="60">
        <f t="shared" si="35"/>
        <v>0</v>
      </c>
      <c r="BG81" s="70">
        <f t="shared" si="35"/>
        <v>0</v>
      </c>
      <c r="BH81" s="60">
        <f t="shared" si="35"/>
        <v>0</v>
      </c>
      <c r="BI81" s="70">
        <f t="shared" si="35"/>
        <v>0</v>
      </c>
      <c r="BJ81" s="60">
        <f t="shared" si="35"/>
        <v>0</v>
      </c>
      <c r="BK81" s="70">
        <f t="shared" si="35"/>
        <v>0</v>
      </c>
      <c r="BL81" s="60">
        <f t="shared" si="35"/>
        <v>0</v>
      </c>
      <c r="BM81" s="70">
        <f t="shared" si="35"/>
        <v>0</v>
      </c>
      <c r="BN81" s="60">
        <f t="shared" si="35"/>
        <v>0</v>
      </c>
      <c r="BO81" s="99">
        <f t="shared" si="31"/>
        <v>0</v>
      </c>
      <c r="BP81" s="99">
        <f t="shared" si="32"/>
        <v>0</v>
      </c>
      <c r="BQ81" s="99">
        <f t="shared" si="33"/>
        <v>0</v>
      </c>
    </row>
    <row r="82" spans="1:69">
      <c r="A82" s="47">
        <f>A18</f>
        <v>1000</v>
      </c>
      <c r="B82" s="30">
        <v>3.0000000000000003E-4</v>
      </c>
      <c r="C82" s="69">
        <f t="shared" ref="C82:AH82" si="36">IF(ISERROR((C50-C18)/C18),0,((C50-C18)/C18))</f>
        <v>0</v>
      </c>
      <c r="D82" s="60">
        <f t="shared" si="36"/>
        <v>0</v>
      </c>
      <c r="E82" s="70">
        <f t="shared" si="36"/>
        <v>0</v>
      </c>
      <c r="F82" s="60">
        <f t="shared" si="36"/>
        <v>0</v>
      </c>
      <c r="G82" s="70">
        <f t="shared" si="36"/>
        <v>0</v>
      </c>
      <c r="H82" s="60">
        <f t="shared" si="36"/>
        <v>0</v>
      </c>
      <c r="I82" s="70">
        <f t="shared" si="36"/>
        <v>0</v>
      </c>
      <c r="J82" s="60">
        <f t="shared" si="36"/>
        <v>0</v>
      </c>
      <c r="K82" s="70">
        <f t="shared" si="36"/>
        <v>0</v>
      </c>
      <c r="L82" s="60">
        <f t="shared" si="36"/>
        <v>0</v>
      </c>
      <c r="M82" s="70">
        <f t="shared" si="36"/>
        <v>0</v>
      </c>
      <c r="N82" s="60">
        <f t="shared" si="36"/>
        <v>0</v>
      </c>
      <c r="O82" s="70">
        <f t="shared" si="36"/>
        <v>0</v>
      </c>
      <c r="P82" s="60">
        <f t="shared" si="36"/>
        <v>0</v>
      </c>
      <c r="Q82" s="70">
        <f t="shared" si="36"/>
        <v>0</v>
      </c>
      <c r="R82" s="60">
        <f t="shared" si="36"/>
        <v>0</v>
      </c>
      <c r="S82" s="70">
        <f t="shared" si="36"/>
        <v>0</v>
      </c>
      <c r="T82" s="60">
        <f t="shared" si="36"/>
        <v>0</v>
      </c>
      <c r="U82" s="70">
        <f t="shared" si="36"/>
        <v>0</v>
      </c>
      <c r="V82" s="60">
        <f t="shared" si="36"/>
        <v>0</v>
      </c>
      <c r="W82" s="70">
        <f t="shared" si="36"/>
        <v>0</v>
      </c>
      <c r="X82" s="60">
        <f t="shared" si="36"/>
        <v>0</v>
      </c>
      <c r="Y82" s="70">
        <f t="shared" si="36"/>
        <v>0</v>
      </c>
      <c r="Z82" s="60">
        <f t="shared" si="36"/>
        <v>0</v>
      </c>
      <c r="AA82" s="70">
        <f t="shared" si="36"/>
        <v>0</v>
      </c>
      <c r="AB82" s="60">
        <f t="shared" si="36"/>
        <v>0</v>
      </c>
      <c r="AC82" s="70">
        <f t="shared" si="36"/>
        <v>0</v>
      </c>
      <c r="AD82" s="60">
        <f t="shared" si="36"/>
        <v>0</v>
      </c>
      <c r="AE82" s="70">
        <f t="shared" si="36"/>
        <v>0</v>
      </c>
      <c r="AF82" s="60">
        <f t="shared" si="36"/>
        <v>0</v>
      </c>
      <c r="AG82" s="70">
        <f t="shared" si="36"/>
        <v>0</v>
      </c>
      <c r="AH82" s="60">
        <f t="shared" si="36"/>
        <v>0</v>
      </c>
      <c r="AI82" s="70">
        <f t="shared" ref="AI82:BN82" si="37">IF(ISERROR((AI50-AI18)/AI18),0,((AI50-AI18)/AI18))</f>
        <v>0</v>
      </c>
      <c r="AJ82" s="60">
        <f t="shared" si="37"/>
        <v>0</v>
      </c>
      <c r="AK82" s="70">
        <f t="shared" si="37"/>
        <v>0</v>
      </c>
      <c r="AL82" s="60">
        <f t="shared" si="37"/>
        <v>0</v>
      </c>
      <c r="AM82" s="70">
        <f t="shared" si="37"/>
        <v>0</v>
      </c>
      <c r="AN82" s="60">
        <f t="shared" si="37"/>
        <v>0</v>
      </c>
      <c r="AO82" s="70">
        <f t="shared" si="37"/>
        <v>0</v>
      </c>
      <c r="AP82" s="60">
        <f t="shared" si="37"/>
        <v>0</v>
      </c>
      <c r="AQ82" s="70">
        <f t="shared" si="37"/>
        <v>0</v>
      </c>
      <c r="AR82" s="60">
        <f t="shared" si="37"/>
        <v>0</v>
      </c>
      <c r="AS82" s="70">
        <f t="shared" si="37"/>
        <v>0</v>
      </c>
      <c r="AT82" s="60">
        <f t="shared" si="37"/>
        <v>0</v>
      </c>
      <c r="AU82" s="70">
        <f t="shared" si="37"/>
        <v>0</v>
      </c>
      <c r="AV82" s="60">
        <f t="shared" si="37"/>
        <v>0</v>
      </c>
      <c r="AW82" s="70">
        <f t="shared" si="37"/>
        <v>0</v>
      </c>
      <c r="AX82" s="60">
        <f t="shared" si="37"/>
        <v>0</v>
      </c>
      <c r="AY82" s="70">
        <f t="shared" si="37"/>
        <v>0</v>
      </c>
      <c r="AZ82" s="60">
        <f t="shared" si="37"/>
        <v>0</v>
      </c>
      <c r="BA82" s="70">
        <f t="shared" si="37"/>
        <v>0</v>
      </c>
      <c r="BB82" s="60">
        <f t="shared" si="37"/>
        <v>0</v>
      </c>
      <c r="BC82" s="70">
        <f t="shared" si="37"/>
        <v>0</v>
      </c>
      <c r="BD82" s="60">
        <f t="shared" si="37"/>
        <v>0</v>
      </c>
      <c r="BE82" s="70">
        <f t="shared" si="37"/>
        <v>0</v>
      </c>
      <c r="BF82" s="60">
        <f t="shared" si="37"/>
        <v>0</v>
      </c>
      <c r="BG82" s="70">
        <f t="shared" si="37"/>
        <v>0</v>
      </c>
      <c r="BH82" s="60">
        <f t="shared" si="37"/>
        <v>0</v>
      </c>
      <c r="BI82" s="70">
        <f t="shared" si="37"/>
        <v>0</v>
      </c>
      <c r="BJ82" s="60">
        <f t="shared" si="37"/>
        <v>0</v>
      </c>
      <c r="BK82" s="70">
        <f t="shared" si="37"/>
        <v>0</v>
      </c>
      <c r="BL82" s="60">
        <f t="shared" si="37"/>
        <v>0</v>
      </c>
      <c r="BM82" s="70">
        <f t="shared" si="37"/>
        <v>0</v>
      </c>
      <c r="BN82" s="60">
        <f t="shared" si="37"/>
        <v>0</v>
      </c>
      <c r="BO82" s="99">
        <f t="shared" si="31"/>
        <v>0</v>
      </c>
      <c r="BP82" s="99">
        <f t="shared" si="32"/>
        <v>0</v>
      </c>
      <c r="BQ82" s="99">
        <f t="shared" si="33"/>
        <v>0</v>
      </c>
    </row>
    <row r="83" spans="1:69">
      <c r="A83" s="47">
        <f>A19</f>
        <v>1000</v>
      </c>
      <c r="B83" s="30">
        <v>5.0000000000000001E-4</v>
      </c>
      <c r="C83" s="7">
        <f t="shared" ref="C83:AH83" si="38">IF(ISERROR((C51-C19)/C19),0,((C51-C19)/C19))</f>
        <v>0</v>
      </c>
      <c r="D83" s="60">
        <f t="shared" si="38"/>
        <v>0</v>
      </c>
      <c r="E83" s="7">
        <f t="shared" si="38"/>
        <v>0</v>
      </c>
      <c r="F83" s="60">
        <f t="shared" si="38"/>
        <v>0</v>
      </c>
      <c r="G83" s="7">
        <f t="shared" si="38"/>
        <v>0</v>
      </c>
      <c r="H83" s="60">
        <f t="shared" si="38"/>
        <v>0</v>
      </c>
      <c r="I83" s="7">
        <f t="shared" si="38"/>
        <v>0</v>
      </c>
      <c r="J83" s="60">
        <f t="shared" si="38"/>
        <v>0</v>
      </c>
      <c r="K83" s="7">
        <f t="shared" si="38"/>
        <v>0</v>
      </c>
      <c r="L83" s="60">
        <f t="shared" si="38"/>
        <v>0</v>
      </c>
      <c r="M83" s="7">
        <f t="shared" si="38"/>
        <v>0</v>
      </c>
      <c r="N83" s="60">
        <f t="shared" si="38"/>
        <v>0</v>
      </c>
      <c r="O83" s="7">
        <f t="shared" si="38"/>
        <v>0</v>
      </c>
      <c r="P83" s="60">
        <f t="shared" si="38"/>
        <v>0</v>
      </c>
      <c r="Q83" s="7">
        <f t="shared" si="38"/>
        <v>0</v>
      </c>
      <c r="R83" s="60">
        <f t="shared" si="38"/>
        <v>0</v>
      </c>
      <c r="S83" s="7">
        <f t="shared" si="38"/>
        <v>0</v>
      </c>
      <c r="T83" s="60">
        <f t="shared" si="38"/>
        <v>0</v>
      </c>
      <c r="U83" s="7">
        <f t="shared" si="38"/>
        <v>0</v>
      </c>
      <c r="V83" s="60">
        <f t="shared" si="38"/>
        <v>0</v>
      </c>
      <c r="W83" s="7">
        <f t="shared" si="38"/>
        <v>0</v>
      </c>
      <c r="X83" s="60">
        <f t="shared" si="38"/>
        <v>0</v>
      </c>
      <c r="Y83" s="7">
        <f t="shared" si="38"/>
        <v>0</v>
      </c>
      <c r="Z83" s="60">
        <f t="shared" si="38"/>
        <v>0</v>
      </c>
      <c r="AA83" s="7">
        <f t="shared" si="38"/>
        <v>0</v>
      </c>
      <c r="AB83" s="60">
        <f t="shared" si="38"/>
        <v>0</v>
      </c>
      <c r="AC83" s="7">
        <f t="shared" si="38"/>
        <v>0</v>
      </c>
      <c r="AD83" s="60">
        <f t="shared" si="38"/>
        <v>0</v>
      </c>
      <c r="AE83" s="7">
        <f t="shared" si="38"/>
        <v>0</v>
      </c>
      <c r="AF83" s="60">
        <f t="shared" si="38"/>
        <v>0</v>
      </c>
      <c r="AG83" s="7">
        <f t="shared" si="38"/>
        <v>0</v>
      </c>
      <c r="AH83" s="60">
        <f t="shared" si="38"/>
        <v>0</v>
      </c>
      <c r="AI83" s="7">
        <f t="shared" ref="AI83:BN83" si="39">IF(ISERROR((AI51-AI19)/AI19),0,((AI51-AI19)/AI19))</f>
        <v>0</v>
      </c>
      <c r="AJ83" s="60">
        <f t="shared" si="39"/>
        <v>0</v>
      </c>
      <c r="AK83" s="7">
        <f t="shared" si="39"/>
        <v>0</v>
      </c>
      <c r="AL83" s="60">
        <f t="shared" si="39"/>
        <v>0</v>
      </c>
      <c r="AM83" s="7">
        <f t="shared" si="39"/>
        <v>0</v>
      </c>
      <c r="AN83" s="60">
        <f t="shared" si="39"/>
        <v>0</v>
      </c>
      <c r="AO83" s="7">
        <f t="shared" si="39"/>
        <v>0</v>
      </c>
      <c r="AP83" s="60">
        <f t="shared" si="39"/>
        <v>0</v>
      </c>
      <c r="AQ83" s="7">
        <f t="shared" si="39"/>
        <v>0</v>
      </c>
      <c r="AR83" s="60">
        <f t="shared" si="39"/>
        <v>0</v>
      </c>
      <c r="AS83" s="7">
        <f t="shared" si="39"/>
        <v>0</v>
      </c>
      <c r="AT83" s="60">
        <f t="shared" si="39"/>
        <v>0</v>
      </c>
      <c r="AU83" s="7">
        <f t="shared" si="39"/>
        <v>0</v>
      </c>
      <c r="AV83" s="60">
        <f t="shared" si="39"/>
        <v>0</v>
      </c>
      <c r="AW83" s="7">
        <f t="shared" si="39"/>
        <v>0</v>
      </c>
      <c r="AX83" s="60">
        <f t="shared" si="39"/>
        <v>0</v>
      </c>
      <c r="AY83" s="7">
        <f t="shared" si="39"/>
        <v>0</v>
      </c>
      <c r="AZ83" s="60">
        <f t="shared" si="39"/>
        <v>0</v>
      </c>
      <c r="BA83" s="7">
        <f t="shared" si="39"/>
        <v>0</v>
      </c>
      <c r="BB83" s="60">
        <f t="shared" si="39"/>
        <v>0</v>
      </c>
      <c r="BC83" s="7">
        <f t="shared" si="39"/>
        <v>0</v>
      </c>
      <c r="BD83" s="60">
        <f t="shared" si="39"/>
        <v>0</v>
      </c>
      <c r="BE83" s="7">
        <f t="shared" si="39"/>
        <v>0</v>
      </c>
      <c r="BF83" s="60">
        <f t="shared" si="39"/>
        <v>0</v>
      </c>
      <c r="BG83" s="7">
        <f t="shared" si="39"/>
        <v>0</v>
      </c>
      <c r="BH83" s="60">
        <f t="shared" si="39"/>
        <v>0</v>
      </c>
      <c r="BI83" s="7">
        <f t="shared" si="39"/>
        <v>0</v>
      </c>
      <c r="BJ83" s="60">
        <f t="shared" si="39"/>
        <v>0</v>
      </c>
      <c r="BK83" s="7">
        <f t="shared" si="39"/>
        <v>0</v>
      </c>
      <c r="BL83" s="60">
        <f t="shared" si="39"/>
        <v>0</v>
      </c>
      <c r="BM83" s="7">
        <f t="shared" si="39"/>
        <v>0</v>
      </c>
      <c r="BN83" s="60">
        <f t="shared" si="39"/>
        <v>0</v>
      </c>
      <c r="BO83" s="100">
        <f t="shared" si="31"/>
        <v>0</v>
      </c>
      <c r="BP83" s="100">
        <f t="shared" si="32"/>
        <v>0</v>
      </c>
      <c r="BQ83" s="100">
        <f t="shared" si="33"/>
        <v>0</v>
      </c>
    </row>
    <row r="84" spans="1:69">
      <c r="A84" s="47">
        <f>A20</f>
        <v>1000</v>
      </c>
      <c r="B84" s="30">
        <v>6.9999999999999999E-4</v>
      </c>
      <c r="C84" s="7">
        <f t="shared" ref="C84:AH84" si="40">IF(ISERROR((C52-C20)/C20),0,((C52-C20)/C20))</f>
        <v>0</v>
      </c>
      <c r="D84" s="60">
        <f t="shared" si="40"/>
        <v>0</v>
      </c>
      <c r="E84" s="7">
        <f t="shared" si="40"/>
        <v>0</v>
      </c>
      <c r="F84" s="60">
        <f t="shared" si="40"/>
        <v>0</v>
      </c>
      <c r="G84" s="7">
        <f t="shared" si="40"/>
        <v>0</v>
      </c>
      <c r="H84" s="60">
        <f t="shared" si="40"/>
        <v>0</v>
      </c>
      <c r="I84" s="7">
        <f t="shared" si="40"/>
        <v>0</v>
      </c>
      <c r="J84" s="60">
        <f t="shared" si="40"/>
        <v>0</v>
      </c>
      <c r="K84" s="7">
        <f t="shared" si="40"/>
        <v>0</v>
      </c>
      <c r="L84" s="60">
        <f t="shared" si="40"/>
        <v>0</v>
      </c>
      <c r="M84" s="7">
        <f t="shared" si="40"/>
        <v>0</v>
      </c>
      <c r="N84" s="60">
        <f t="shared" si="40"/>
        <v>0</v>
      </c>
      <c r="O84" s="7">
        <f t="shared" si="40"/>
        <v>0</v>
      </c>
      <c r="P84" s="60">
        <f t="shared" si="40"/>
        <v>0</v>
      </c>
      <c r="Q84" s="7">
        <f t="shared" si="40"/>
        <v>0</v>
      </c>
      <c r="R84" s="60">
        <f t="shared" si="40"/>
        <v>0</v>
      </c>
      <c r="S84" s="7">
        <f t="shared" si="40"/>
        <v>0</v>
      </c>
      <c r="T84" s="60">
        <f t="shared" si="40"/>
        <v>0</v>
      </c>
      <c r="U84" s="7">
        <f t="shared" si="40"/>
        <v>0</v>
      </c>
      <c r="V84" s="60">
        <f t="shared" si="40"/>
        <v>0</v>
      </c>
      <c r="W84" s="7">
        <f t="shared" si="40"/>
        <v>0</v>
      </c>
      <c r="X84" s="60">
        <f t="shared" si="40"/>
        <v>0</v>
      </c>
      <c r="Y84" s="7">
        <f t="shared" si="40"/>
        <v>0</v>
      </c>
      <c r="Z84" s="60">
        <f t="shared" si="40"/>
        <v>0</v>
      </c>
      <c r="AA84" s="7">
        <f t="shared" si="40"/>
        <v>0</v>
      </c>
      <c r="AB84" s="60">
        <f t="shared" si="40"/>
        <v>0</v>
      </c>
      <c r="AC84" s="7">
        <f t="shared" si="40"/>
        <v>0</v>
      </c>
      <c r="AD84" s="60">
        <f t="shared" si="40"/>
        <v>0</v>
      </c>
      <c r="AE84" s="7">
        <f t="shared" si="40"/>
        <v>0</v>
      </c>
      <c r="AF84" s="60">
        <f t="shared" si="40"/>
        <v>0</v>
      </c>
      <c r="AG84" s="7">
        <f t="shared" si="40"/>
        <v>0</v>
      </c>
      <c r="AH84" s="60">
        <f t="shared" si="40"/>
        <v>0</v>
      </c>
      <c r="AI84" s="7">
        <f t="shared" ref="AI84:BN84" si="41">IF(ISERROR((AI52-AI20)/AI20),0,((AI52-AI20)/AI20))</f>
        <v>0</v>
      </c>
      <c r="AJ84" s="60">
        <f t="shared" si="41"/>
        <v>0</v>
      </c>
      <c r="AK84" s="7">
        <f t="shared" si="41"/>
        <v>0</v>
      </c>
      <c r="AL84" s="60">
        <f t="shared" si="41"/>
        <v>0</v>
      </c>
      <c r="AM84" s="7">
        <f t="shared" si="41"/>
        <v>0</v>
      </c>
      <c r="AN84" s="60">
        <f t="shared" si="41"/>
        <v>0</v>
      </c>
      <c r="AO84" s="7">
        <f t="shared" si="41"/>
        <v>0</v>
      </c>
      <c r="AP84" s="60">
        <f t="shared" si="41"/>
        <v>0</v>
      </c>
      <c r="AQ84" s="7">
        <f t="shared" si="41"/>
        <v>0</v>
      </c>
      <c r="AR84" s="60">
        <f t="shared" si="41"/>
        <v>0</v>
      </c>
      <c r="AS84" s="7">
        <f t="shared" si="41"/>
        <v>0</v>
      </c>
      <c r="AT84" s="60">
        <f t="shared" si="41"/>
        <v>0</v>
      </c>
      <c r="AU84" s="7">
        <f t="shared" si="41"/>
        <v>0</v>
      </c>
      <c r="AV84" s="60">
        <f t="shared" si="41"/>
        <v>0</v>
      </c>
      <c r="AW84" s="7">
        <f t="shared" si="41"/>
        <v>0</v>
      </c>
      <c r="AX84" s="60">
        <f t="shared" si="41"/>
        <v>0</v>
      </c>
      <c r="AY84" s="7">
        <f t="shared" si="41"/>
        <v>0</v>
      </c>
      <c r="AZ84" s="60">
        <f t="shared" si="41"/>
        <v>0</v>
      </c>
      <c r="BA84" s="7">
        <f t="shared" si="41"/>
        <v>0</v>
      </c>
      <c r="BB84" s="60">
        <f t="shared" si="41"/>
        <v>0</v>
      </c>
      <c r="BC84" s="7">
        <f t="shared" si="41"/>
        <v>0</v>
      </c>
      <c r="BD84" s="60">
        <f t="shared" si="41"/>
        <v>0</v>
      </c>
      <c r="BE84" s="7">
        <f t="shared" si="41"/>
        <v>0</v>
      </c>
      <c r="BF84" s="60">
        <f t="shared" si="41"/>
        <v>0</v>
      </c>
      <c r="BG84" s="7">
        <f t="shared" si="41"/>
        <v>0</v>
      </c>
      <c r="BH84" s="60">
        <f t="shared" si="41"/>
        <v>0</v>
      </c>
      <c r="BI84" s="7">
        <f t="shared" si="41"/>
        <v>0</v>
      </c>
      <c r="BJ84" s="60">
        <f t="shared" si="41"/>
        <v>0</v>
      </c>
      <c r="BK84" s="7">
        <f t="shared" si="41"/>
        <v>0</v>
      </c>
      <c r="BL84" s="60">
        <f t="shared" si="41"/>
        <v>0</v>
      </c>
      <c r="BM84" s="7">
        <f t="shared" si="41"/>
        <v>0</v>
      </c>
      <c r="BN84" s="60">
        <f t="shared" si="41"/>
        <v>0</v>
      </c>
      <c r="BO84" s="100">
        <f t="shared" si="31"/>
        <v>0</v>
      </c>
      <c r="BP84" s="100">
        <f t="shared" si="32"/>
        <v>0</v>
      </c>
      <c r="BQ84" s="100">
        <f t="shared" si="33"/>
        <v>0</v>
      </c>
    </row>
    <row r="85" spans="1:69">
      <c r="A85" s="47">
        <f>A21</f>
        <v>1000</v>
      </c>
      <c r="B85" s="30">
        <f t="shared" ref="B85:B103" si="42">B80*10</f>
        <v>1E-3</v>
      </c>
      <c r="C85" s="7">
        <f t="shared" ref="C85:AH85" si="43">IF(ISERROR((C53-C21)/C21),0,((C53-C21)/C21))</f>
        <v>0</v>
      </c>
      <c r="D85" s="60">
        <f t="shared" si="43"/>
        <v>0</v>
      </c>
      <c r="E85" s="7">
        <f t="shared" si="43"/>
        <v>0</v>
      </c>
      <c r="F85" s="60">
        <f t="shared" si="43"/>
        <v>0</v>
      </c>
      <c r="G85" s="7">
        <f t="shared" si="43"/>
        <v>0</v>
      </c>
      <c r="H85" s="60">
        <f t="shared" si="43"/>
        <v>0</v>
      </c>
      <c r="I85" s="7">
        <f t="shared" si="43"/>
        <v>0</v>
      </c>
      <c r="J85" s="60">
        <f t="shared" si="43"/>
        <v>0</v>
      </c>
      <c r="K85" s="7">
        <f t="shared" si="43"/>
        <v>0</v>
      </c>
      <c r="L85" s="60">
        <f t="shared" si="43"/>
        <v>0</v>
      </c>
      <c r="M85" s="7">
        <f t="shared" si="43"/>
        <v>0</v>
      </c>
      <c r="N85" s="60">
        <f t="shared" si="43"/>
        <v>0</v>
      </c>
      <c r="O85" s="7">
        <f t="shared" si="43"/>
        <v>0</v>
      </c>
      <c r="P85" s="60">
        <f t="shared" si="43"/>
        <v>0</v>
      </c>
      <c r="Q85" s="7">
        <f t="shared" si="43"/>
        <v>0</v>
      </c>
      <c r="R85" s="60">
        <f t="shared" si="43"/>
        <v>0</v>
      </c>
      <c r="S85" s="7">
        <f t="shared" si="43"/>
        <v>0</v>
      </c>
      <c r="T85" s="60">
        <f t="shared" si="43"/>
        <v>0</v>
      </c>
      <c r="U85" s="7">
        <f t="shared" si="43"/>
        <v>0</v>
      </c>
      <c r="V85" s="60">
        <f t="shared" si="43"/>
        <v>0</v>
      </c>
      <c r="W85" s="7">
        <f t="shared" si="43"/>
        <v>0</v>
      </c>
      <c r="X85" s="60">
        <f t="shared" si="43"/>
        <v>0</v>
      </c>
      <c r="Y85" s="7">
        <f t="shared" si="43"/>
        <v>0</v>
      </c>
      <c r="Z85" s="60">
        <f t="shared" si="43"/>
        <v>0</v>
      </c>
      <c r="AA85" s="7">
        <f t="shared" si="43"/>
        <v>0</v>
      </c>
      <c r="AB85" s="60">
        <f t="shared" si="43"/>
        <v>0</v>
      </c>
      <c r="AC85" s="7">
        <f t="shared" si="43"/>
        <v>0</v>
      </c>
      <c r="AD85" s="60">
        <f t="shared" si="43"/>
        <v>0</v>
      </c>
      <c r="AE85" s="7">
        <f t="shared" si="43"/>
        <v>0</v>
      </c>
      <c r="AF85" s="60">
        <f t="shared" si="43"/>
        <v>0</v>
      </c>
      <c r="AG85" s="7">
        <f t="shared" si="43"/>
        <v>0</v>
      </c>
      <c r="AH85" s="60">
        <f t="shared" si="43"/>
        <v>0</v>
      </c>
      <c r="AI85" s="7">
        <f t="shared" ref="AI85:BN85" si="44">IF(ISERROR((AI53-AI21)/AI21),0,((AI53-AI21)/AI21))</f>
        <v>0</v>
      </c>
      <c r="AJ85" s="60">
        <f t="shared" si="44"/>
        <v>0</v>
      </c>
      <c r="AK85" s="7">
        <f t="shared" si="44"/>
        <v>0</v>
      </c>
      <c r="AL85" s="60">
        <f t="shared" si="44"/>
        <v>0</v>
      </c>
      <c r="AM85" s="7">
        <f t="shared" si="44"/>
        <v>0</v>
      </c>
      <c r="AN85" s="60">
        <f t="shared" si="44"/>
        <v>0</v>
      </c>
      <c r="AO85" s="7">
        <f t="shared" si="44"/>
        <v>0</v>
      </c>
      <c r="AP85" s="60">
        <f t="shared" si="44"/>
        <v>0</v>
      </c>
      <c r="AQ85" s="7">
        <f t="shared" si="44"/>
        <v>0</v>
      </c>
      <c r="AR85" s="60">
        <f t="shared" si="44"/>
        <v>0</v>
      </c>
      <c r="AS85" s="7">
        <f t="shared" si="44"/>
        <v>0</v>
      </c>
      <c r="AT85" s="60">
        <f t="shared" si="44"/>
        <v>0</v>
      </c>
      <c r="AU85" s="7">
        <f t="shared" si="44"/>
        <v>0</v>
      </c>
      <c r="AV85" s="60">
        <f t="shared" si="44"/>
        <v>0</v>
      </c>
      <c r="AW85" s="7">
        <f t="shared" si="44"/>
        <v>0</v>
      </c>
      <c r="AX85" s="60">
        <f t="shared" si="44"/>
        <v>0</v>
      </c>
      <c r="AY85" s="7">
        <f t="shared" si="44"/>
        <v>0</v>
      </c>
      <c r="AZ85" s="60">
        <f t="shared" si="44"/>
        <v>0</v>
      </c>
      <c r="BA85" s="7">
        <f t="shared" si="44"/>
        <v>0</v>
      </c>
      <c r="BB85" s="60">
        <f t="shared" si="44"/>
        <v>0</v>
      </c>
      <c r="BC85" s="7">
        <f t="shared" si="44"/>
        <v>0</v>
      </c>
      <c r="BD85" s="60">
        <f t="shared" si="44"/>
        <v>0</v>
      </c>
      <c r="BE85" s="7">
        <f t="shared" si="44"/>
        <v>0</v>
      </c>
      <c r="BF85" s="60">
        <f t="shared" si="44"/>
        <v>0</v>
      </c>
      <c r="BG85" s="7">
        <f t="shared" si="44"/>
        <v>0</v>
      </c>
      <c r="BH85" s="60">
        <f t="shared" si="44"/>
        <v>0</v>
      </c>
      <c r="BI85" s="7">
        <f t="shared" si="44"/>
        <v>0</v>
      </c>
      <c r="BJ85" s="60">
        <f t="shared" si="44"/>
        <v>0</v>
      </c>
      <c r="BK85" s="7">
        <f t="shared" si="44"/>
        <v>0</v>
      </c>
      <c r="BL85" s="60">
        <f t="shared" si="44"/>
        <v>0</v>
      </c>
      <c r="BM85" s="7">
        <f t="shared" si="44"/>
        <v>0</v>
      </c>
      <c r="BN85" s="60">
        <f t="shared" si="44"/>
        <v>0</v>
      </c>
      <c r="BO85" s="100">
        <f t="shared" si="31"/>
        <v>0</v>
      </c>
      <c r="BP85" s="100">
        <f t="shared" si="32"/>
        <v>0</v>
      </c>
      <c r="BQ85" s="100">
        <f t="shared" si="33"/>
        <v>0</v>
      </c>
    </row>
    <row r="86" spans="1:69">
      <c r="A86" s="47">
        <f>A22</f>
        <v>500</v>
      </c>
      <c r="B86" s="30">
        <f t="shared" si="42"/>
        <v>2E-3</v>
      </c>
      <c r="C86" s="7">
        <f t="shared" ref="C86:AH86" si="45">IF(ISERROR((C54-C22)/C22),0,((C54-C22)/C22))</f>
        <v>0</v>
      </c>
      <c r="D86" s="60">
        <f t="shared" si="45"/>
        <v>0</v>
      </c>
      <c r="E86" s="7">
        <f t="shared" si="45"/>
        <v>0</v>
      </c>
      <c r="F86" s="60">
        <f t="shared" si="45"/>
        <v>0</v>
      </c>
      <c r="G86" s="7">
        <f t="shared" si="45"/>
        <v>0</v>
      </c>
      <c r="H86" s="60">
        <f t="shared" si="45"/>
        <v>0</v>
      </c>
      <c r="I86" s="7">
        <f t="shared" si="45"/>
        <v>0</v>
      </c>
      <c r="J86" s="60">
        <f t="shared" si="45"/>
        <v>0</v>
      </c>
      <c r="K86" s="7">
        <f t="shared" si="45"/>
        <v>0</v>
      </c>
      <c r="L86" s="60">
        <f t="shared" si="45"/>
        <v>0</v>
      </c>
      <c r="M86" s="7">
        <f t="shared" si="45"/>
        <v>0</v>
      </c>
      <c r="N86" s="60">
        <f t="shared" si="45"/>
        <v>0</v>
      </c>
      <c r="O86" s="7">
        <f t="shared" si="45"/>
        <v>0</v>
      </c>
      <c r="P86" s="60">
        <f t="shared" si="45"/>
        <v>0</v>
      </c>
      <c r="Q86" s="7">
        <f t="shared" si="45"/>
        <v>0</v>
      </c>
      <c r="R86" s="60">
        <f t="shared" si="45"/>
        <v>0</v>
      </c>
      <c r="S86" s="7">
        <f t="shared" si="45"/>
        <v>0</v>
      </c>
      <c r="T86" s="60">
        <f t="shared" si="45"/>
        <v>0</v>
      </c>
      <c r="U86" s="7">
        <f t="shared" si="45"/>
        <v>0</v>
      </c>
      <c r="V86" s="60">
        <f t="shared" si="45"/>
        <v>0</v>
      </c>
      <c r="W86" s="7">
        <f t="shared" si="45"/>
        <v>0</v>
      </c>
      <c r="X86" s="60">
        <f t="shared" si="45"/>
        <v>0</v>
      </c>
      <c r="Y86" s="7">
        <f t="shared" si="45"/>
        <v>0</v>
      </c>
      <c r="Z86" s="60">
        <f t="shared" si="45"/>
        <v>0</v>
      </c>
      <c r="AA86" s="7">
        <f t="shared" si="45"/>
        <v>0</v>
      </c>
      <c r="AB86" s="60">
        <f t="shared" si="45"/>
        <v>0</v>
      </c>
      <c r="AC86" s="7">
        <f t="shared" si="45"/>
        <v>0</v>
      </c>
      <c r="AD86" s="60">
        <f t="shared" si="45"/>
        <v>0</v>
      </c>
      <c r="AE86" s="7">
        <f t="shared" si="45"/>
        <v>0</v>
      </c>
      <c r="AF86" s="60">
        <f t="shared" si="45"/>
        <v>0</v>
      </c>
      <c r="AG86" s="7">
        <f t="shared" si="45"/>
        <v>0</v>
      </c>
      <c r="AH86" s="60">
        <f t="shared" si="45"/>
        <v>0</v>
      </c>
      <c r="AI86" s="7">
        <f t="shared" ref="AI86:BN86" si="46">IF(ISERROR((AI54-AI22)/AI22),0,((AI54-AI22)/AI22))</f>
        <v>0</v>
      </c>
      <c r="AJ86" s="60">
        <f t="shared" si="46"/>
        <v>0</v>
      </c>
      <c r="AK86" s="7">
        <f t="shared" si="46"/>
        <v>0</v>
      </c>
      <c r="AL86" s="60">
        <f t="shared" si="46"/>
        <v>0</v>
      </c>
      <c r="AM86" s="7">
        <f t="shared" si="46"/>
        <v>0</v>
      </c>
      <c r="AN86" s="60">
        <f t="shared" si="46"/>
        <v>0</v>
      </c>
      <c r="AO86" s="7">
        <f t="shared" si="46"/>
        <v>0</v>
      </c>
      <c r="AP86" s="60">
        <f t="shared" si="46"/>
        <v>0</v>
      </c>
      <c r="AQ86" s="7">
        <f t="shared" si="46"/>
        <v>0</v>
      </c>
      <c r="AR86" s="60">
        <f t="shared" si="46"/>
        <v>0</v>
      </c>
      <c r="AS86" s="7">
        <f t="shared" si="46"/>
        <v>0</v>
      </c>
      <c r="AT86" s="60">
        <f t="shared" si="46"/>
        <v>0</v>
      </c>
      <c r="AU86" s="7">
        <f t="shared" si="46"/>
        <v>0</v>
      </c>
      <c r="AV86" s="60">
        <f t="shared" si="46"/>
        <v>0</v>
      </c>
      <c r="AW86" s="7">
        <f t="shared" si="46"/>
        <v>0</v>
      </c>
      <c r="AX86" s="60">
        <f t="shared" si="46"/>
        <v>0</v>
      </c>
      <c r="AY86" s="7">
        <f t="shared" si="46"/>
        <v>0</v>
      </c>
      <c r="AZ86" s="60">
        <f t="shared" si="46"/>
        <v>0</v>
      </c>
      <c r="BA86" s="7">
        <f t="shared" si="46"/>
        <v>0</v>
      </c>
      <c r="BB86" s="60">
        <f t="shared" si="46"/>
        <v>0</v>
      </c>
      <c r="BC86" s="7">
        <f t="shared" si="46"/>
        <v>0</v>
      </c>
      <c r="BD86" s="60">
        <f t="shared" si="46"/>
        <v>0</v>
      </c>
      <c r="BE86" s="7">
        <f t="shared" si="46"/>
        <v>0</v>
      </c>
      <c r="BF86" s="60">
        <f t="shared" si="46"/>
        <v>0</v>
      </c>
      <c r="BG86" s="7">
        <f t="shared" si="46"/>
        <v>0</v>
      </c>
      <c r="BH86" s="60">
        <f t="shared" si="46"/>
        <v>0</v>
      </c>
      <c r="BI86" s="7">
        <f t="shared" si="46"/>
        <v>0</v>
      </c>
      <c r="BJ86" s="60">
        <f t="shared" si="46"/>
        <v>0</v>
      </c>
      <c r="BK86" s="7">
        <f t="shared" si="46"/>
        <v>0</v>
      </c>
      <c r="BL86" s="60">
        <f t="shared" si="46"/>
        <v>0</v>
      </c>
      <c r="BM86" s="7">
        <f t="shared" si="46"/>
        <v>0</v>
      </c>
      <c r="BN86" s="60">
        <f t="shared" si="46"/>
        <v>0</v>
      </c>
      <c r="BO86" s="100">
        <f t="shared" si="31"/>
        <v>0</v>
      </c>
      <c r="BP86" s="100">
        <f t="shared" si="32"/>
        <v>0</v>
      </c>
      <c r="BQ86" s="100">
        <f t="shared" si="33"/>
        <v>0</v>
      </c>
    </row>
    <row r="87" spans="1:69">
      <c r="A87" s="47">
        <f>A23</f>
        <v>300</v>
      </c>
      <c r="B87" s="30">
        <f t="shared" si="42"/>
        <v>3.0000000000000001E-3</v>
      </c>
      <c r="C87" s="7">
        <f t="shared" ref="C87:AH87" si="47">IF(ISERROR((C55-C23)/C23),0,((C55-C23)/C23))</f>
        <v>0</v>
      </c>
      <c r="D87" s="60">
        <f t="shared" si="47"/>
        <v>0</v>
      </c>
      <c r="E87" s="7">
        <f t="shared" si="47"/>
        <v>0</v>
      </c>
      <c r="F87" s="60">
        <f t="shared" si="47"/>
        <v>0</v>
      </c>
      <c r="G87" s="7">
        <f t="shared" si="47"/>
        <v>0</v>
      </c>
      <c r="H87" s="60">
        <f t="shared" si="47"/>
        <v>0</v>
      </c>
      <c r="I87" s="7">
        <f t="shared" si="47"/>
        <v>0</v>
      </c>
      <c r="J87" s="60">
        <f t="shared" si="47"/>
        <v>0</v>
      </c>
      <c r="K87" s="7">
        <f t="shared" si="47"/>
        <v>0</v>
      </c>
      <c r="L87" s="60">
        <f t="shared" si="47"/>
        <v>0</v>
      </c>
      <c r="M87" s="7">
        <f t="shared" si="47"/>
        <v>0</v>
      </c>
      <c r="N87" s="60">
        <f t="shared" si="47"/>
        <v>0</v>
      </c>
      <c r="O87" s="7">
        <f t="shared" si="47"/>
        <v>0</v>
      </c>
      <c r="P87" s="60">
        <f t="shared" si="47"/>
        <v>0</v>
      </c>
      <c r="Q87" s="7">
        <f t="shared" si="47"/>
        <v>0</v>
      </c>
      <c r="R87" s="60">
        <f t="shared" si="47"/>
        <v>0</v>
      </c>
      <c r="S87" s="7">
        <f t="shared" si="47"/>
        <v>0</v>
      </c>
      <c r="T87" s="60">
        <f t="shared" si="47"/>
        <v>0</v>
      </c>
      <c r="U87" s="7">
        <f t="shared" si="47"/>
        <v>0</v>
      </c>
      <c r="V87" s="60">
        <f t="shared" si="47"/>
        <v>0</v>
      </c>
      <c r="W87" s="7">
        <f t="shared" si="47"/>
        <v>0</v>
      </c>
      <c r="X87" s="60">
        <f t="shared" si="47"/>
        <v>0</v>
      </c>
      <c r="Y87" s="7">
        <f t="shared" si="47"/>
        <v>0</v>
      </c>
      <c r="Z87" s="60">
        <f t="shared" si="47"/>
        <v>0</v>
      </c>
      <c r="AA87" s="7">
        <f t="shared" si="47"/>
        <v>0</v>
      </c>
      <c r="AB87" s="60">
        <f t="shared" si="47"/>
        <v>0</v>
      </c>
      <c r="AC87" s="7">
        <f t="shared" si="47"/>
        <v>0</v>
      </c>
      <c r="AD87" s="60">
        <f t="shared" si="47"/>
        <v>0</v>
      </c>
      <c r="AE87" s="7">
        <f t="shared" si="47"/>
        <v>0</v>
      </c>
      <c r="AF87" s="60">
        <f t="shared" si="47"/>
        <v>0</v>
      </c>
      <c r="AG87" s="7">
        <f t="shared" si="47"/>
        <v>0</v>
      </c>
      <c r="AH87" s="60">
        <f t="shared" si="47"/>
        <v>0</v>
      </c>
      <c r="AI87" s="7">
        <f t="shared" ref="AI87:BN87" si="48">IF(ISERROR((AI55-AI23)/AI23),0,((AI55-AI23)/AI23))</f>
        <v>0</v>
      </c>
      <c r="AJ87" s="60">
        <f t="shared" si="48"/>
        <v>0</v>
      </c>
      <c r="AK87" s="7">
        <f t="shared" si="48"/>
        <v>0</v>
      </c>
      <c r="AL87" s="60">
        <f t="shared" si="48"/>
        <v>0</v>
      </c>
      <c r="AM87" s="7">
        <f t="shared" si="48"/>
        <v>0</v>
      </c>
      <c r="AN87" s="60">
        <f t="shared" si="48"/>
        <v>0</v>
      </c>
      <c r="AO87" s="7">
        <f t="shared" si="48"/>
        <v>0</v>
      </c>
      <c r="AP87" s="60">
        <f t="shared" si="48"/>
        <v>0</v>
      </c>
      <c r="AQ87" s="7">
        <f t="shared" si="48"/>
        <v>0</v>
      </c>
      <c r="AR87" s="60">
        <f t="shared" si="48"/>
        <v>0</v>
      </c>
      <c r="AS87" s="7">
        <f t="shared" si="48"/>
        <v>0</v>
      </c>
      <c r="AT87" s="60">
        <f t="shared" si="48"/>
        <v>0</v>
      </c>
      <c r="AU87" s="7">
        <f t="shared" si="48"/>
        <v>0</v>
      </c>
      <c r="AV87" s="60">
        <f t="shared" si="48"/>
        <v>0</v>
      </c>
      <c r="AW87" s="7">
        <f t="shared" si="48"/>
        <v>0</v>
      </c>
      <c r="AX87" s="60">
        <f t="shared" si="48"/>
        <v>0</v>
      </c>
      <c r="AY87" s="7">
        <f t="shared" si="48"/>
        <v>0</v>
      </c>
      <c r="AZ87" s="60">
        <f t="shared" si="48"/>
        <v>0</v>
      </c>
      <c r="BA87" s="7">
        <f t="shared" si="48"/>
        <v>0</v>
      </c>
      <c r="BB87" s="60">
        <f t="shared" si="48"/>
        <v>0</v>
      </c>
      <c r="BC87" s="7">
        <f t="shared" si="48"/>
        <v>0</v>
      </c>
      <c r="BD87" s="60">
        <f t="shared" si="48"/>
        <v>0</v>
      </c>
      <c r="BE87" s="7">
        <f t="shared" si="48"/>
        <v>0</v>
      </c>
      <c r="BF87" s="60">
        <f t="shared" si="48"/>
        <v>0</v>
      </c>
      <c r="BG87" s="7">
        <f t="shared" si="48"/>
        <v>0</v>
      </c>
      <c r="BH87" s="60">
        <f t="shared" si="48"/>
        <v>0</v>
      </c>
      <c r="BI87" s="7">
        <f t="shared" si="48"/>
        <v>0</v>
      </c>
      <c r="BJ87" s="60">
        <f t="shared" si="48"/>
        <v>0</v>
      </c>
      <c r="BK87" s="7">
        <f t="shared" si="48"/>
        <v>0</v>
      </c>
      <c r="BL87" s="60">
        <f t="shared" si="48"/>
        <v>0</v>
      </c>
      <c r="BM87" s="7">
        <f t="shared" si="48"/>
        <v>0</v>
      </c>
      <c r="BN87" s="60">
        <f t="shared" si="48"/>
        <v>0</v>
      </c>
      <c r="BO87" s="100">
        <f t="shared" si="31"/>
        <v>0</v>
      </c>
      <c r="BP87" s="100">
        <f t="shared" si="32"/>
        <v>0</v>
      </c>
      <c r="BQ87" s="100">
        <f t="shared" si="33"/>
        <v>0</v>
      </c>
    </row>
    <row r="88" spans="1:69">
      <c r="A88" s="47">
        <f>A24</f>
        <v>300</v>
      </c>
      <c r="B88" s="30">
        <f t="shared" si="42"/>
        <v>5.0000000000000001E-3</v>
      </c>
      <c r="C88" s="7">
        <f t="shared" ref="C88:AH88" si="49">IF(ISERROR((C56-C24)/C24),0,((C56-C24)/C24))</f>
        <v>0</v>
      </c>
      <c r="D88" s="60">
        <f t="shared" si="49"/>
        <v>0</v>
      </c>
      <c r="E88" s="7">
        <f t="shared" si="49"/>
        <v>0</v>
      </c>
      <c r="F88" s="60">
        <f t="shared" si="49"/>
        <v>0</v>
      </c>
      <c r="G88" s="7">
        <f t="shared" si="49"/>
        <v>0</v>
      </c>
      <c r="H88" s="60">
        <f t="shared" si="49"/>
        <v>0</v>
      </c>
      <c r="I88" s="7">
        <f t="shared" si="49"/>
        <v>0</v>
      </c>
      <c r="J88" s="60">
        <f t="shared" si="49"/>
        <v>0</v>
      </c>
      <c r="K88" s="7">
        <f t="shared" si="49"/>
        <v>0</v>
      </c>
      <c r="L88" s="60">
        <f t="shared" si="49"/>
        <v>0</v>
      </c>
      <c r="M88" s="7">
        <f t="shared" si="49"/>
        <v>0</v>
      </c>
      <c r="N88" s="60">
        <f t="shared" si="49"/>
        <v>0</v>
      </c>
      <c r="O88" s="7">
        <f t="shared" si="49"/>
        <v>0</v>
      </c>
      <c r="P88" s="60">
        <f t="shared" si="49"/>
        <v>0</v>
      </c>
      <c r="Q88" s="7">
        <f t="shared" si="49"/>
        <v>0</v>
      </c>
      <c r="R88" s="60">
        <f t="shared" si="49"/>
        <v>0</v>
      </c>
      <c r="S88" s="7">
        <f t="shared" si="49"/>
        <v>0</v>
      </c>
      <c r="T88" s="60">
        <f t="shared" si="49"/>
        <v>0</v>
      </c>
      <c r="U88" s="7">
        <f t="shared" si="49"/>
        <v>0</v>
      </c>
      <c r="V88" s="60">
        <f t="shared" si="49"/>
        <v>0</v>
      </c>
      <c r="W88" s="7">
        <f t="shared" si="49"/>
        <v>0</v>
      </c>
      <c r="X88" s="60">
        <f t="shared" si="49"/>
        <v>0</v>
      </c>
      <c r="Y88" s="7">
        <f t="shared" si="49"/>
        <v>0</v>
      </c>
      <c r="Z88" s="60">
        <f t="shared" si="49"/>
        <v>0</v>
      </c>
      <c r="AA88" s="7">
        <f t="shared" si="49"/>
        <v>0</v>
      </c>
      <c r="AB88" s="60">
        <f t="shared" si="49"/>
        <v>0</v>
      </c>
      <c r="AC88" s="7">
        <f t="shared" si="49"/>
        <v>0</v>
      </c>
      <c r="AD88" s="60">
        <f t="shared" si="49"/>
        <v>0</v>
      </c>
      <c r="AE88" s="7">
        <f t="shared" si="49"/>
        <v>0</v>
      </c>
      <c r="AF88" s="60">
        <f t="shared" si="49"/>
        <v>0</v>
      </c>
      <c r="AG88" s="7">
        <f t="shared" si="49"/>
        <v>0</v>
      </c>
      <c r="AH88" s="60">
        <f t="shared" si="49"/>
        <v>0</v>
      </c>
      <c r="AI88" s="7">
        <f t="shared" ref="AI88:BN88" si="50">IF(ISERROR((AI56-AI24)/AI24),0,((AI56-AI24)/AI24))</f>
        <v>0</v>
      </c>
      <c r="AJ88" s="60">
        <f t="shared" si="50"/>
        <v>0</v>
      </c>
      <c r="AK88" s="7">
        <f t="shared" si="50"/>
        <v>0</v>
      </c>
      <c r="AL88" s="60">
        <f t="shared" si="50"/>
        <v>0</v>
      </c>
      <c r="AM88" s="7">
        <f t="shared" si="50"/>
        <v>0</v>
      </c>
      <c r="AN88" s="60">
        <f t="shared" si="50"/>
        <v>0</v>
      </c>
      <c r="AO88" s="7">
        <f t="shared" si="50"/>
        <v>0</v>
      </c>
      <c r="AP88" s="60">
        <f t="shared" si="50"/>
        <v>0</v>
      </c>
      <c r="AQ88" s="7">
        <f t="shared" si="50"/>
        <v>0</v>
      </c>
      <c r="AR88" s="60">
        <f t="shared" si="50"/>
        <v>0</v>
      </c>
      <c r="AS88" s="7">
        <f t="shared" si="50"/>
        <v>0</v>
      </c>
      <c r="AT88" s="60">
        <f t="shared" si="50"/>
        <v>0</v>
      </c>
      <c r="AU88" s="7">
        <f t="shared" si="50"/>
        <v>0</v>
      </c>
      <c r="AV88" s="60">
        <f t="shared" si="50"/>
        <v>0</v>
      </c>
      <c r="AW88" s="7">
        <f t="shared" si="50"/>
        <v>0</v>
      </c>
      <c r="AX88" s="60">
        <f t="shared" si="50"/>
        <v>0</v>
      </c>
      <c r="AY88" s="7">
        <f t="shared" si="50"/>
        <v>0</v>
      </c>
      <c r="AZ88" s="60">
        <f t="shared" si="50"/>
        <v>0</v>
      </c>
      <c r="BA88" s="7">
        <f t="shared" si="50"/>
        <v>0</v>
      </c>
      <c r="BB88" s="60">
        <f t="shared" si="50"/>
        <v>0</v>
      </c>
      <c r="BC88" s="7">
        <f t="shared" si="50"/>
        <v>0</v>
      </c>
      <c r="BD88" s="60">
        <f t="shared" si="50"/>
        <v>0</v>
      </c>
      <c r="BE88" s="7">
        <f t="shared" si="50"/>
        <v>0</v>
      </c>
      <c r="BF88" s="60">
        <f t="shared" si="50"/>
        <v>0</v>
      </c>
      <c r="BG88" s="7">
        <f t="shared" si="50"/>
        <v>0</v>
      </c>
      <c r="BH88" s="60">
        <f t="shared" si="50"/>
        <v>0</v>
      </c>
      <c r="BI88" s="7">
        <f t="shared" si="50"/>
        <v>0</v>
      </c>
      <c r="BJ88" s="60">
        <f t="shared" si="50"/>
        <v>0</v>
      </c>
      <c r="BK88" s="7">
        <f t="shared" si="50"/>
        <v>0</v>
      </c>
      <c r="BL88" s="60">
        <f t="shared" si="50"/>
        <v>0</v>
      </c>
      <c r="BM88" s="7">
        <f t="shared" si="50"/>
        <v>0</v>
      </c>
      <c r="BN88" s="60">
        <f t="shared" si="50"/>
        <v>0</v>
      </c>
      <c r="BO88" s="100">
        <f t="shared" si="31"/>
        <v>0</v>
      </c>
      <c r="BP88" s="100">
        <f t="shared" si="32"/>
        <v>0</v>
      </c>
      <c r="BQ88" s="100">
        <f t="shared" si="33"/>
        <v>0</v>
      </c>
    </row>
    <row r="89" spans="1:69">
      <c r="A89" s="47">
        <f>A25</f>
        <v>300</v>
      </c>
      <c r="B89" s="30">
        <f t="shared" si="42"/>
        <v>7.0000000000000001E-3</v>
      </c>
      <c r="C89" s="7">
        <f t="shared" ref="C89:AH89" si="51">IF(ISERROR((C57-C25)/C25),0,((C57-C25)/C25))</f>
        <v>0</v>
      </c>
      <c r="D89" s="60">
        <f t="shared" si="51"/>
        <v>0</v>
      </c>
      <c r="E89" s="7">
        <f t="shared" si="51"/>
        <v>0</v>
      </c>
      <c r="F89" s="60">
        <f t="shared" si="51"/>
        <v>0</v>
      </c>
      <c r="G89" s="7">
        <f t="shared" si="51"/>
        <v>0</v>
      </c>
      <c r="H89" s="60">
        <f t="shared" si="51"/>
        <v>0</v>
      </c>
      <c r="I89" s="7">
        <f t="shared" si="51"/>
        <v>0</v>
      </c>
      <c r="J89" s="60">
        <f t="shared" si="51"/>
        <v>0</v>
      </c>
      <c r="K89" s="7">
        <f t="shared" si="51"/>
        <v>0</v>
      </c>
      <c r="L89" s="60">
        <f t="shared" si="51"/>
        <v>0</v>
      </c>
      <c r="M89" s="7">
        <f t="shared" si="51"/>
        <v>0</v>
      </c>
      <c r="N89" s="60">
        <f t="shared" si="51"/>
        <v>0</v>
      </c>
      <c r="O89" s="7">
        <f t="shared" si="51"/>
        <v>0</v>
      </c>
      <c r="P89" s="60">
        <f t="shared" si="51"/>
        <v>0</v>
      </c>
      <c r="Q89" s="7">
        <f t="shared" si="51"/>
        <v>0</v>
      </c>
      <c r="R89" s="60">
        <f t="shared" si="51"/>
        <v>0</v>
      </c>
      <c r="S89" s="7">
        <f t="shared" si="51"/>
        <v>0</v>
      </c>
      <c r="T89" s="60">
        <f t="shared" si="51"/>
        <v>0</v>
      </c>
      <c r="U89" s="7">
        <f t="shared" si="51"/>
        <v>0</v>
      </c>
      <c r="V89" s="60">
        <f t="shared" si="51"/>
        <v>0</v>
      </c>
      <c r="W89" s="7">
        <f t="shared" si="51"/>
        <v>0</v>
      </c>
      <c r="X89" s="60">
        <f t="shared" si="51"/>
        <v>0</v>
      </c>
      <c r="Y89" s="7">
        <f t="shared" si="51"/>
        <v>0</v>
      </c>
      <c r="Z89" s="60">
        <f t="shared" si="51"/>
        <v>0</v>
      </c>
      <c r="AA89" s="7">
        <f t="shared" si="51"/>
        <v>0</v>
      </c>
      <c r="AB89" s="60">
        <f t="shared" si="51"/>
        <v>0</v>
      </c>
      <c r="AC89" s="7">
        <f t="shared" si="51"/>
        <v>0</v>
      </c>
      <c r="AD89" s="60">
        <f t="shared" si="51"/>
        <v>0</v>
      </c>
      <c r="AE89" s="7">
        <f t="shared" si="51"/>
        <v>0</v>
      </c>
      <c r="AF89" s="60">
        <f t="shared" si="51"/>
        <v>0</v>
      </c>
      <c r="AG89" s="7">
        <f t="shared" si="51"/>
        <v>0</v>
      </c>
      <c r="AH89" s="60">
        <f t="shared" si="51"/>
        <v>0</v>
      </c>
      <c r="AI89" s="7">
        <f t="shared" ref="AI89:BN89" si="52">IF(ISERROR((AI57-AI25)/AI25),0,((AI57-AI25)/AI25))</f>
        <v>0</v>
      </c>
      <c r="AJ89" s="60">
        <f t="shared" si="52"/>
        <v>0</v>
      </c>
      <c r="AK89" s="7">
        <f t="shared" si="52"/>
        <v>0</v>
      </c>
      <c r="AL89" s="60">
        <f t="shared" si="52"/>
        <v>0</v>
      </c>
      <c r="AM89" s="7">
        <f t="shared" si="52"/>
        <v>0</v>
      </c>
      <c r="AN89" s="60">
        <f t="shared" si="52"/>
        <v>0</v>
      </c>
      <c r="AO89" s="7">
        <f t="shared" si="52"/>
        <v>0</v>
      </c>
      <c r="AP89" s="60">
        <f t="shared" si="52"/>
        <v>0</v>
      </c>
      <c r="AQ89" s="7">
        <f t="shared" si="52"/>
        <v>0</v>
      </c>
      <c r="AR89" s="60">
        <f t="shared" si="52"/>
        <v>0</v>
      </c>
      <c r="AS89" s="7">
        <f t="shared" si="52"/>
        <v>0</v>
      </c>
      <c r="AT89" s="60">
        <f t="shared" si="52"/>
        <v>0</v>
      </c>
      <c r="AU89" s="7">
        <f t="shared" si="52"/>
        <v>0</v>
      </c>
      <c r="AV89" s="60">
        <f t="shared" si="52"/>
        <v>0</v>
      </c>
      <c r="AW89" s="7">
        <f t="shared" si="52"/>
        <v>0</v>
      </c>
      <c r="AX89" s="60">
        <f t="shared" si="52"/>
        <v>0</v>
      </c>
      <c r="AY89" s="7">
        <f t="shared" si="52"/>
        <v>0</v>
      </c>
      <c r="AZ89" s="60">
        <f t="shared" si="52"/>
        <v>0</v>
      </c>
      <c r="BA89" s="7">
        <f t="shared" si="52"/>
        <v>0</v>
      </c>
      <c r="BB89" s="60">
        <f t="shared" si="52"/>
        <v>0</v>
      </c>
      <c r="BC89" s="7">
        <f t="shared" si="52"/>
        <v>0</v>
      </c>
      <c r="BD89" s="60">
        <f t="shared" si="52"/>
        <v>0</v>
      </c>
      <c r="BE89" s="7">
        <f t="shared" si="52"/>
        <v>0</v>
      </c>
      <c r="BF89" s="60">
        <f t="shared" si="52"/>
        <v>0</v>
      </c>
      <c r="BG89" s="7">
        <f t="shared" si="52"/>
        <v>0</v>
      </c>
      <c r="BH89" s="60">
        <f t="shared" si="52"/>
        <v>0</v>
      </c>
      <c r="BI89" s="7">
        <f t="shared" si="52"/>
        <v>0</v>
      </c>
      <c r="BJ89" s="60">
        <f t="shared" si="52"/>
        <v>0</v>
      </c>
      <c r="BK89" s="7">
        <f t="shared" si="52"/>
        <v>0</v>
      </c>
      <c r="BL89" s="60">
        <f t="shared" si="52"/>
        <v>0</v>
      </c>
      <c r="BM89" s="7">
        <f t="shared" si="52"/>
        <v>0</v>
      </c>
      <c r="BN89" s="60">
        <f t="shared" si="52"/>
        <v>0</v>
      </c>
      <c r="BO89" s="100">
        <f t="shared" si="31"/>
        <v>0</v>
      </c>
      <c r="BP89" s="100">
        <f t="shared" si="32"/>
        <v>0</v>
      </c>
      <c r="BQ89" s="100">
        <f t="shared" si="33"/>
        <v>0</v>
      </c>
    </row>
    <row r="90" spans="1:69">
      <c r="A90" s="47">
        <f>A26</f>
        <v>200</v>
      </c>
      <c r="B90" s="30">
        <f t="shared" si="42"/>
        <v>0.01</v>
      </c>
      <c r="C90" s="7">
        <f t="shared" ref="C90:AH90" si="53">IF(ISERROR((C58-C26)/C26),0,((C58-C26)/C26))</f>
        <v>0</v>
      </c>
      <c r="D90" s="60">
        <f t="shared" si="53"/>
        <v>0</v>
      </c>
      <c r="E90" s="7">
        <f t="shared" si="53"/>
        <v>0</v>
      </c>
      <c r="F90" s="60">
        <f t="shared" si="53"/>
        <v>0</v>
      </c>
      <c r="G90" s="7">
        <f t="shared" si="53"/>
        <v>0</v>
      </c>
      <c r="H90" s="60">
        <f t="shared" si="53"/>
        <v>0</v>
      </c>
      <c r="I90" s="7">
        <f t="shared" si="53"/>
        <v>0</v>
      </c>
      <c r="J90" s="60">
        <f t="shared" si="53"/>
        <v>0</v>
      </c>
      <c r="K90" s="7">
        <f t="shared" si="53"/>
        <v>0</v>
      </c>
      <c r="L90" s="60">
        <f t="shared" si="53"/>
        <v>0</v>
      </c>
      <c r="M90" s="7">
        <f t="shared" si="53"/>
        <v>0</v>
      </c>
      <c r="N90" s="60">
        <f t="shared" si="53"/>
        <v>0</v>
      </c>
      <c r="O90" s="7">
        <f t="shared" si="53"/>
        <v>0</v>
      </c>
      <c r="P90" s="60">
        <f t="shared" si="53"/>
        <v>0</v>
      </c>
      <c r="Q90" s="7">
        <f t="shared" si="53"/>
        <v>0</v>
      </c>
      <c r="R90" s="60">
        <f t="shared" si="53"/>
        <v>0</v>
      </c>
      <c r="S90" s="7">
        <f t="shared" si="53"/>
        <v>0</v>
      </c>
      <c r="T90" s="60">
        <f t="shared" si="53"/>
        <v>0</v>
      </c>
      <c r="U90" s="7">
        <f t="shared" si="53"/>
        <v>0</v>
      </c>
      <c r="V90" s="60">
        <f t="shared" si="53"/>
        <v>0</v>
      </c>
      <c r="W90" s="7">
        <f t="shared" si="53"/>
        <v>0</v>
      </c>
      <c r="X90" s="60">
        <f t="shared" si="53"/>
        <v>0</v>
      </c>
      <c r="Y90" s="7">
        <f t="shared" si="53"/>
        <v>0</v>
      </c>
      <c r="Z90" s="60">
        <f t="shared" si="53"/>
        <v>0</v>
      </c>
      <c r="AA90" s="7">
        <f t="shared" si="53"/>
        <v>0</v>
      </c>
      <c r="AB90" s="60">
        <f t="shared" si="53"/>
        <v>0</v>
      </c>
      <c r="AC90" s="7">
        <f t="shared" si="53"/>
        <v>0</v>
      </c>
      <c r="AD90" s="60">
        <f t="shared" si="53"/>
        <v>0</v>
      </c>
      <c r="AE90" s="7">
        <f t="shared" si="53"/>
        <v>0</v>
      </c>
      <c r="AF90" s="60">
        <f t="shared" si="53"/>
        <v>0</v>
      </c>
      <c r="AG90" s="7">
        <f t="shared" si="53"/>
        <v>0</v>
      </c>
      <c r="AH90" s="60">
        <f t="shared" si="53"/>
        <v>0</v>
      </c>
      <c r="AI90" s="7">
        <f t="shared" ref="AI90:BN90" si="54">IF(ISERROR((AI58-AI26)/AI26),0,((AI58-AI26)/AI26))</f>
        <v>0</v>
      </c>
      <c r="AJ90" s="60">
        <f t="shared" si="54"/>
        <v>0</v>
      </c>
      <c r="AK90" s="7">
        <f t="shared" si="54"/>
        <v>0</v>
      </c>
      <c r="AL90" s="60">
        <f t="shared" si="54"/>
        <v>0</v>
      </c>
      <c r="AM90" s="7">
        <f t="shared" si="54"/>
        <v>0</v>
      </c>
      <c r="AN90" s="60">
        <f t="shared" si="54"/>
        <v>0</v>
      </c>
      <c r="AO90" s="7">
        <f t="shared" si="54"/>
        <v>0</v>
      </c>
      <c r="AP90" s="60">
        <f t="shared" si="54"/>
        <v>0</v>
      </c>
      <c r="AQ90" s="7">
        <f t="shared" si="54"/>
        <v>0</v>
      </c>
      <c r="AR90" s="60">
        <f t="shared" si="54"/>
        <v>0</v>
      </c>
      <c r="AS90" s="7">
        <f t="shared" si="54"/>
        <v>0</v>
      </c>
      <c r="AT90" s="60">
        <f t="shared" si="54"/>
        <v>0</v>
      </c>
      <c r="AU90" s="7">
        <f t="shared" si="54"/>
        <v>0</v>
      </c>
      <c r="AV90" s="60">
        <f t="shared" si="54"/>
        <v>0</v>
      </c>
      <c r="AW90" s="7">
        <f t="shared" si="54"/>
        <v>0</v>
      </c>
      <c r="AX90" s="60">
        <f t="shared" si="54"/>
        <v>0</v>
      </c>
      <c r="AY90" s="7">
        <f t="shared" si="54"/>
        <v>0</v>
      </c>
      <c r="AZ90" s="60">
        <f t="shared" si="54"/>
        <v>0</v>
      </c>
      <c r="BA90" s="7">
        <f t="shared" si="54"/>
        <v>0</v>
      </c>
      <c r="BB90" s="60">
        <f t="shared" si="54"/>
        <v>0</v>
      </c>
      <c r="BC90" s="7">
        <f t="shared" si="54"/>
        <v>0</v>
      </c>
      <c r="BD90" s="60">
        <f t="shared" si="54"/>
        <v>0</v>
      </c>
      <c r="BE90" s="7">
        <f t="shared" si="54"/>
        <v>0</v>
      </c>
      <c r="BF90" s="60">
        <f t="shared" si="54"/>
        <v>0</v>
      </c>
      <c r="BG90" s="7">
        <f t="shared" si="54"/>
        <v>0</v>
      </c>
      <c r="BH90" s="60">
        <f t="shared" si="54"/>
        <v>0</v>
      </c>
      <c r="BI90" s="7">
        <f t="shared" si="54"/>
        <v>0</v>
      </c>
      <c r="BJ90" s="60">
        <f t="shared" si="54"/>
        <v>0</v>
      </c>
      <c r="BK90" s="7">
        <f t="shared" si="54"/>
        <v>0</v>
      </c>
      <c r="BL90" s="60">
        <f t="shared" si="54"/>
        <v>0</v>
      </c>
      <c r="BM90" s="7">
        <f t="shared" si="54"/>
        <v>0</v>
      </c>
      <c r="BN90" s="60">
        <f t="shared" si="54"/>
        <v>0</v>
      </c>
      <c r="BO90" s="100">
        <f t="shared" si="31"/>
        <v>0</v>
      </c>
      <c r="BP90" s="100">
        <f t="shared" si="32"/>
        <v>0</v>
      </c>
      <c r="BQ90" s="100">
        <f t="shared" si="33"/>
        <v>0</v>
      </c>
    </row>
    <row r="91" spans="1:69">
      <c r="A91" s="47">
        <f>A27</f>
        <v>200</v>
      </c>
      <c r="B91" s="30">
        <f t="shared" si="42"/>
        <v>0.02</v>
      </c>
      <c r="C91" s="7">
        <f t="shared" ref="C91:AH91" si="55">IF(ISERROR((C59-C27)/C27),0,((C59-C27)/C27))</f>
        <v>0</v>
      </c>
      <c r="D91" s="60">
        <f t="shared" si="55"/>
        <v>0</v>
      </c>
      <c r="E91" s="7">
        <f t="shared" si="55"/>
        <v>0</v>
      </c>
      <c r="F91" s="60">
        <f t="shared" si="55"/>
        <v>0</v>
      </c>
      <c r="G91" s="7">
        <f t="shared" si="55"/>
        <v>0</v>
      </c>
      <c r="H91" s="60">
        <f t="shared" si="55"/>
        <v>0</v>
      </c>
      <c r="I91" s="7">
        <f t="shared" si="55"/>
        <v>0</v>
      </c>
      <c r="J91" s="60">
        <f t="shared" si="55"/>
        <v>0</v>
      </c>
      <c r="K91" s="7">
        <f t="shared" si="55"/>
        <v>0</v>
      </c>
      <c r="L91" s="60">
        <f t="shared" si="55"/>
        <v>0</v>
      </c>
      <c r="M91" s="7">
        <f t="shared" si="55"/>
        <v>0</v>
      </c>
      <c r="N91" s="60">
        <f t="shared" si="55"/>
        <v>0</v>
      </c>
      <c r="O91" s="7">
        <f t="shared" si="55"/>
        <v>0</v>
      </c>
      <c r="P91" s="60">
        <f t="shared" si="55"/>
        <v>0</v>
      </c>
      <c r="Q91" s="7">
        <f t="shared" si="55"/>
        <v>0</v>
      </c>
      <c r="R91" s="60">
        <f t="shared" si="55"/>
        <v>0</v>
      </c>
      <c r="S91" s="7">
        <f t="shared" si="55"/>
        <v>0</v>
      </c>
      <c r="T91" s="60">
        <f t="shared" si="55"/>
        <v>0</v>
      </c>
      <c r="U91" s="7">
        <f t="shared" si="55"/>
        <v>0</v>
      </c>
      <c r="V91" s="60">
        <f t="shared" si="55"/>
        <v>0</v>
      </c>
      <c r="W91" s="7">
        <f t="shared" si="55"/>
        <v>0</v>
      </c>
      <c r="X91" s="60">
        <f t="shared" si="55"/>
        <v>0</v>
      </c>
      <c r="Y91" s="7">
        <f t="shared" si="55"/>
        <v>0</v>
      </c>
      <c r="Z91" s="60">
        <f t="shared" si="55"/>
        <v>0</v>
      </c>
      <c r="AA91" s="7">
        <f t="shared" si="55"/>
        <v>0</v>
      </c>
      <c r="AB91" s="60">
        <f t="shared" si="55"/>
        <v>0</v>
      </c>
      <c r="AC91" s="7">
        <f t="shared" si="55"/>
        <v>0</v>
      </c>
      <c r="AD91" s="60">
        <f t="shared" si="55"/>
        <v>0</v>
      </c>
      <c r="AE91" s="7">
        <f t="shared" si="55"/>
        <v>0</v>
      </c>
      <c r="AF91" s="60">
        <f t="shared" si="55"/>
        <v>0</v>
      </c>
      <c r="AG91" s="7">
        <f t="shared" si="55"/>
        <v>0</v>
      </c>
      <c r="AH91" s="60">
        <f t="shared" si="55"/>
        <v>0</v>
      </c>
      <c r="AI91" s="7">
        <f t="shared" ref="AI91:BN91" si="56">IF(ISERROR((AI59-AI27)/AI27),0,((AI59-AI27)/AI27))</f>
        <v>0</v>
      </c>
      <c r="AJ91" s="60">
        <f t="shared" si="56"/>
        <v>0</v>
      </c>
      <c r="AK91" s="7">
        <f t="shared" si="56"/>
        <v>0</v>
      </c>
      <c r="AL91" s="60">
        <f t="shared" si="56"/>
        <v>0</v>
      </c>
      <c r="AM91" s="7">
        <f t="shared" si="56"/>
        <v>0</v>
      </c>
      <c r="AN91" s="60">
        <f t="shared" si="56"/>
        <v>0</v>
      </c>
      <c r="AO91" s="7">
        <f t="shared" si="56"/>
        <v>0</v>
      </c>
      <c r="AP91" s="60">
        <f t="shared" si="56"/>
        <v>0</v>
      </c>
      <c r="AQ91" s="7">
        <f t="shared" si="56"/>
        <v>0</v>
      </c>
      <c r="AR91" s="60">
        <f t="shared" si="56"/>
        <v>0</v>
      </c>
      <c r="AS91" s="7">
        <f t="shared" si="56"/>
        <v>0</v>
      </c>
      <c r="AT91" s="60">
        <f t="shared" si="56"/>
        <v>0</v>
      </c>
      <c r="AU91" s="7">
        <f t="shared" si="56"/>
        <v>0</v>
      </c>
      <c r="AV91" s="60">
        <f t="shared" si="56"/>
        <v>0</v>
      </c>
      <c r="AW91" s="7">
        <f t="shared" si="56"/>
        <v>0</v>
      </c>
      <c r="AX91" s="60">
        <f t="shared" si="56"/>
        <v>0</v>
      </c>
      <c r="AY91" s="7">
        <f t="shared" si="56"/>
        <v>0</v>
      </c>
      <c r="AZ91" s="60">
        <f t="shared" si="56"/>
        <v>0</v>
      </c>
      <c r="BA91" s="7">
        <f t="shared" si="56"/>
        <v>0</v>
      </c>
      <c r="BB91" s="60">
        <f t="shared" si="56"/>
        <v>0</v>
      </c>
      <c r="BC91" s="7">
        <f t="shared" si="56"/>
        <v>0</v>
      </c>
      <c r="BD91" s="60">
        <f t="shared" si="56"/>
        <v>0</v>
      </c>
      <c r="BE91" s="7">
        <f t="shared" si="56"/>
        <v>0</v>
      </c>
      <c r="BF91" s="60">
        <f t="shared" si="56"/>
        <v>0</v>
      </c>
      <c r="BG91" s="7">
        <f t="shared" si="56"/>
        <v>0</v>
      </c>
      <c r="BH91" s="60">
        <f t="shared" si="56"/>
        <v>0</v>
      </c>
      <c r="BI91" s="7">
        <f t="shared" si="56"/>
        <v>0</v>
      </c>
      <c r="BJ91" s="60">
        <f t="shared" si="56"/>
        <v>0</v>
      </c>
      <c r="BK91" s="7">
        <f t="shared" si="56"/>
        <v>0</v>
      </c>
      <c r="BL91" s="60">
        <f t="shared" si="56"/>
        <v>0</v>
      </c>
      <c r="BM91" s="7">
        <f t="shared" si="56"/>
        <v>0</v>
      </c>
      <c r="BN91" s="60">
        <f t="shared" si="56"/>
        <v>0</v>
      </c>
      <c r="BO91" s="100">
        <f t="shared" si="31"/>
        <v>0</v>
      </c>
      <c r="BP91" s="100">
        <f t="shared" si="32"/>
        <v>0</v>
      </c>
      <c r="BQ91" s="100">
        <f t="shared" si="33"/>
        <v>0</v>
      </c>
    </row>
    <row r="92" spans="1:69">
      <c r="A92" s="47">
        <f>A28</f>
        <v>200</v>
      </c>
      <c r="B92" s="30">
        <f t="shared" si="42"/>
        <v>0.03</v>
      </c>
      <c r="C92" s="7">
        <f t="shared" ref="C92:AH92" si="57">IF(ISERROR((C60-C28)/C28),0,((C60-C28)/C28))</f>
        <v>0</v>
      </c>
      <c r="D92" s="60">
        <f t="shared" si="57"/>
        <v>0</v>
      </c>
      <c r="E92" s="7">
        <f t="shared" si="57"/>
        <v>0</v>
      </c>
      <c r="F92" s="60">
        <f t="shared" si="57"/>
        <v>0</v>
      </c>
      <c r="G92" s="7">
        <f t="shared" si="57"/>
        <v>0</v>
      </c>
      <c r="H92" s="60">
        <f t="shared" si="57"/>
        <v>0</v>
      </c>
      <c r="I92" s="7">
        <f t="shared" si="57"/>
        <v>0</v>
      </c>
      <c r="J92" s="60">
        <f t="shared" si="57"/>
        <v>0</v>
      </c>
      <c r="K92" s="7">
        <f t="shared" si="57"/>
        <v>0</v>
      </c>
      <c r="L92" s="60">
        <f t="shared" si="57"/>
        <v>0</v>
      </c>
      <c r="M92" s="7">
        <f t="shared" si="57"/>
        <v>0</v>
      </c>
      <c r="N92" s="60">
        <f t="shared" si="57"/>
        <v>0</v>
      </c>
      <c r="O92" s="7">
        <f t="shared" si="57"/>
        <v>0</v>
      </c>
      <c r="P92" s="60">
        <f t="shared" si="57"/>
        <v>0</v>
      </c>
      <c r="Q92" s="7">
        <f t="shared" si="57"/>
        <v>0</v>
      </c>
      <c r="R92" s="60">
        <f t="shared" si="57"/>
        <v>0</v>
      </c>
      <c r="S92" s="7">
        <f t="shared" si="57"/>
        <v>0</v>
      </c>
      <c r="T92" s="60">
        <f t="shared" si="57"/>
        <v>0</v>
      </c>
      <c r="U92" s="7">
        <f t="shared" si="57"/>
        <v>0</v>
      </c>
      <c r="V92" s="60">
        <f t="shared" si="57"/>
        <v>0</v>
      </c>
      <c r="W92" s="7">
        <f t="shared" si="57"/>
        <v>0</v>
      </c>
      <c r="X92" s="60">
        <f t="shared" si="57"/>
        <v>0</v>
      </c>
      <c r="Y92" s="7">
        <f t="shared" si="57"/>
        <v>0</v>
      </c>
      <c r="Z92" s="60">
        <f t="shared" si="57"/>
        <v>0</v>
      </c>
      <c r="AA92" s="7">
        <f t="shared" si="57"/>
        <v>0</v>
      </c>
      <c r="AB92" s="60">
        <f t="shared" si="57"/>
        <v>0</v>
      </c>
      <c r="AC92" s="7">
        <f t="shared" si="57"/>
        <v>0</v>
      </c>
      <c r="AD92" s="60">
        <f t="shared" si="57"/>
        <v>0</v>
      </c>
      <c r="AE92" s="7">
        <f t="shared" si="57"/>
        <v>0</v>
      </c>
      <c r="AF92" s="60">
        <f t="shared" si="57"/>
        <v>0</v>
      </c>
      <c r="AG92" s="7">
        <f t="shared" si="57"/>
        <v>0</v>
      </c>
      <c r="AH92" s="60">
        <f t="shared" si="57"/>
        <v>0</v>
      </c>
      <c r="AI92" s="7">
        <f t="shared" ref="AI92:BN92" si="58">IF(ISERROR((AI60-AI28)/AI28),0,((AI60-AI28)/AI28))</f>
        <v>0</v>
      </c>
      <c r="AJ92" s="60">
        <f t="shared" si="58"/>
        <v>0</v>
      </c>
      <c r="AK92" s="7">
        <f t="shared" si="58"/>
        <v>0</v>
      </c>
      <c r="AL92" s="60">
        <f t="shared" si="58"/>
        <v>0</v>
      </c>
      <c r="AM92" s="7">
        <f t="shared" si="58"/>
        <v>0</v>
      </c>
      <c r="AN92" s="60">
        <f t="shared" si="58"/>
        <v>0</v>
      </c>
      <c r="AO92" s="7">
        <f t="shared" si="58"/>
        <v>0</v>
      </c>
      <c r="AP92" s="60">
        <f t="shared" si="58"/>
        <v>0</v>
      </c>
      <c r="AQ92" s="7">
        <f t="shared" si="58"/>
        <v>0</v>
      </c>
      <c r="AR92" s="60">
        <f t="shared" si="58"/>
        <v>0</v>
      </c>
      <c r="AS92" s="7">
        <f t="shared" si="58"/>
        <v>0</v>
      </c>
      <c r="AT92" s="60">
        <f t="shared" si="58"/>
        <v>0</v>
      </c>
      <c r="AU92" s="7">
        <f t="shared" si="58"/>
        <v>0</v>
      </c>
      <c r="AV92" s="60">
        <f t="shared" si="58"/>
        <v>0</v>
      </c>
      <c r="AW92" s="7">
        <f t="shared" si="58"/>
        <v>0</v>
      </c>
      <c r="AX92" s="60">
        <f t="shared" si="58"/>
        <v>0</v>
      </c>
      <c r="AY92" s="7">
        <f t="shared" si="58"/>
        <v>0</v>
      </c>
      <c r="AZ92" s="60">
        <f t="shared" si="58"/>
        <v>0</v>
      </c>
      <c r="BA92" s="7">
        <f t="shared" si="58"/>
        <v>0</v>
      </c>
      <c r="BB92" s="60">
        <f t="shared" si="58"/>
        <v>0</v>
      </c>
      <c r="BC92" s="7">
        <f t="shared" si="58"/>
        <v>0</v>
      </c>
      <c r="BD92" s="60">
        <f t="shared" si="58"/>
        <v>0</v>
      </c>
      <c r="BE92" s="7">
        <f t="shared" si="58"/>
        <v>0</v>
      </c>
      <c r="BF92" s="60">
        <f t="shared" si="58"/>
        <v>0</v>
      </c>
      <c r="BG92" s="7">
        <f t="shared" si="58"/>
        <v>0</v>
      </c>
      <c r="BH92" s="60">
        <f t="shared" si="58"/>
        <v>0</v>
      </c>
      <c r="BI92" s="7">
        <f t="shared" si="58"/>
        <v>0</v>
      </c>
      <c r="BJ92" s="60">
        <f t="shared" si="58"/>
        <v>0</v>
      </c>
      <c r="BK92" s="7">
        <f t="shared" si="58"/>
        <v>0</v>
      </c>
      <c r="BL92" s="60">
        <f t="shared" si="58"/>
        <v>0</v>
      </c>
      <c r="BM92" s="7">
        <f t="shared" si="58"/>
        <v>0</v>
      </c>
      <c r="BN92" s="60">
        <f t="shared" si="58"/>
        <v>0</v>
      </c>
      <c r="BO92" s="100">
        <f t="shared" si="31"/>
        <v>0</v>
      </c>
      <c r="BP92" s="100">
        <f t="shared" si="32"/>
        <v>0</v>
      </c>
      <c r="BQ92" s="100">
        <f t="shared" si="33"/>
        <v>0</v>
      </c>
    </row>
    <row r="93" spans="1:69">
      <c r="A93" s="47">
        <f>A29</f>
        <v>200</v>
      </c>
      <c r="B93" s="30">
        <f t="shared" si="42"/>
        <v>0.05</v>
      </c>
      <c r="C93" s="7">
        <f t="shared" ref="C93:AH93" si="59">IF(ISERROR((C61-C29)/C29),0,((C61-C29)/C29))</f>
        <v>0</v>
      </c>
      <c r="D93" s="60">
        <f t="shared" si="59"/>
        <v>0</v>
      </c>
      <c r="E93" s="7">
        <f t="shared" si="59"/>
        <v>0</v>
      </c>
      <c r="F93" s="60">
        <f t="shared" si="59"/>
        <v>0</v>
      </c>
      <c r="G93" s="7">
        <f t="shared" si="59"/>
        <v>0</v>
      </c>
      <c r="H93" s="60">
        <f t="shared" si="59"/>
        <v>0</v>
      </c>
      <c r="I93" s="7">
        <f t="shared" si="59"/>
        <v>0</v>
      </c>
      <c r="J93" s="60">
        <f t="shared" si="59"/>
        <v>0</v>
      </c>
      <c r="K93" s="7">
        <f t="shared" si="59"/>
        <v>0</v>
      </c>
      <c r="L93" s="60">
        <f t="shared" si="59"/>
        <v>0</v>
      </c>
      <c r="M93" s="7">
        <f t="shared" si="59"/>
        <v>0</v>
      </c>
      <c r="N93" s="60">
        <f t="shared" si="59"/>
        <v>0</v>
      </c>
      <c r="O93" s="7">
        <f t="shared" si="59"/>
        <v>0</v>
      </c>
      <c r="P93" s="60">
        <f t="shared" si="59"/>
        <v>0</v>
      </c>
      <c r="Q93" s="7">
        <f t="shared" si="59"/>
        <v>0</v>
      </c>
      <c r="R93" s="60">
        <f t="shared" si="59"/>
        <v>0</v>
      </c>
      <c r="S93" s="7">
        <f t="shared" si="59"/>
        <v>0</v>
      </c>
      <c r="T93" s="60">
        <f t="shared" si="59"/>
        <v>0</v>
      </c>
      <c r="U93" s="7">
        <f t="shared" si="59"/>
        <v>0</v>
      </c>
      <c r="V93" s="60">
        <f t="shared" si="59"/>
        <v>0</v>
      </c>
      <c r="W93" s="7">
        <f t="shared" si="59"/>
        <v>0</v>
      </c>
      <c r="X93" s="60">
        <f t="shared" si="59"/>
        <v>0</v>
      </c>
      <c r="Y93" s="7">
        <f t="shared" si="59"/>
        <v>0</v>
      </c>
      <c r="Z93" s="60">
        <f t="shared" si="59"/>
        <v>0</v>
      </c>
      <c r="AA93" s="7">
        <f t="shared" si="59"/>
        <v>0</v>
      </c>
      <c r="AB93" s="60">
        <f t="shared" si="59"/>
        <v>0</v>
      </c>
      <c r="AC93" s="7">
        <f t="shared" si="59"/>
        <v>0</v>
      </c>
      <c r="AD93" s="60">
        <f t="shared" si="59"/>
        <v>0</v>
      </c>
      <c r="AE93" s="7">
        <f t="shared" si="59"/>
        <v>0</v>
      </c>
      <c r="AF93" s="60">
        <f t="shared" si="59"/>
        <v>0</v>
      </c>
      <c r="AG93" s="7">
        <f t="shared" si="59"/>
        <v>0</v>
      </c>
      <c r="AH93" s="60">
        <f t="shared" si="59"/>
        <v>0</v>
      </c>
      <c r="AI93" s="7">
        <f t="shared" ref="AI93:BN93" si="60">IF(ISERROR((AI61-AI29)/AI29),0,((AI61-AI29)/AI29))</f>
        <v>0</v>
      </c>
      <c r="AJ93" s="60">
        <f t="shared" si="60"/>
        <v>0</v>
      </c>
      <c r="AK93" s="7">
        <f t="shared" si="60"/>
        <v>0</v>
      </c>
      <c r="AL93" s="60">
        <f t="shared" si="60"/>
        <v>0</v>
      </c>
      <c r="AM93" s="7">
        <f t="shared" si="60"/>
        <v>0</v>
      </c>
      <c r="AN93" s="60">
        <f t="shared" si="60"/>
        <v>0</v>
      </c>
      <c r="AO93" s="7">
        <f t="shared" si="60"/>
        <v>0</v>
      </c>
      <c r="AP93" s="60">
        <f t="shared" si="60"/>
        <v>0</v>
      </c>
      <c r="AQ93" s="7">
        <f t="shared" si="60"/>
        <v>0</v>
      </c>
      <c r="AR93" s="60">
        <f t="shared" si="60"/>
        <v>0</v>
      </c>
      <c r="AS93" s="7">
        <f t="shared" si="60"/>
        <v>0</v>
      </c>
      <c r="AT93" s="60">
        <f t="shared" si="60"/>
        <v>0</v>
      </c>
      <c r="AU93" s="7">
        <f t="shared" si="60"/>
        <v>0</v>
      </c>
      <c r="AV93" s="60">
        <f t="shared" si="60"/>
        <v>0</v>
      </c>
      <c r="AW93" s="7">
        <f t="shared" si="60"/>
        <v>0</v>
      </c>
      <c r="AX93" s="60">
        <f t="shared" si="60"/>
        <v>0</v>
      </c>
      <c r="AY93" s="7">
        <f t="shared" si="60"/>
        <v>0</v>
      </c>
      <c r="AZ93" s="60">
        <f t="shared" si="60"/>
        <v>0</v>
      </c>
      <c r="BA93" s="7">
        <f t="shared" si="60"/>
        <v>0</v>
      </c>
      <c r="BB93" s="60">
        <f t="shared" si="60"/>
        <v>0</v>
      </c>
      <c r="BC93" s="7">
        <f t="shared" si="60"/>
        <v>0</v>
      </c>
      <c r="BD93" s="60">
        <f t="shared" si="60"/>
        <v>0</v>
      </c>
      <c r="BE93" s="7">
        <f t="shared" si="60"/>
        <v>0</v>
      </c>
      <c r="BF93" s="60">
        <f t="shared" si="60"/>
        <v>0</v>
      </c>
      <c r="BG93" s="7">
        <f t="shared" si="60"/>
        <v>0</v>
      </c>
      <c r="BH93" s="60">
        <f t="shared" si="60"/>
        <v>0</v>
      </c>
      <c r="BI93" s="7">
        <f t="shared" si="60"/>
        <v>0</v>
      </c>
      <c r="BJ93" s="60">
        <f t="shared" si="60"/>
        <v>0</v>
      </c>
      <c r="BK93" s="7">
        <f t="shared" si="60"/>
        <v>0</v>
      </c>
      <c r="BL93" s="60">
        <f t="shared" si="60"/>
        <v>0</v>
      </c>
      <c r="BM93" s="7">
        <f t="shared" si="60"/>
        <v>0</v>
      </c>
      <c r="BN93" s="60">
        <f t="shared" si="60"/>
        <v>0</v>
      </c>
      <c r="BO93" s="100">
        <f t="shared" si="31"/>
        <v>0</v>
      </c>
      <c r="BP93" s="100">
        <f t="shared" si="32"/>
        <v>0</v>
      </c>
      <c r="BQ93" s="100">
        <f t="shared" si="33"/>
        <v>0</v>
      </c>
    </row>
    <row r="94" spans="1:69">
      <c r="A94" s="47">
        <f>A30</f>
        <v>200</v>
      </c>
      <c r="B94" s="30">
        <f t="shared" si="42"/>
        <v>7.0000000000000007E-2</v>
      </c>
      <c r="C94" s="7">
        <f t="shared" ref="C94:AH94" si="61">IF(ISERROR((C62-C30)/C30),0,((C62-C30)/C30))</f>
        <v>0</v>
      </c>
      <c r="D94" s="60">
        <f t="shared" si="61"/>
        <v>0</v>
      </c>
      <c r="E94" s="7">
        <f t="shared" si="61"/>
        <v>0</v>
      </c>
      <c r="F94" s="60">
        <f t="shared" si="61"/>
        <v>0</v>
      </c>
      <c r="G94" s="7">
        <f t="shared" si="61"/>
        <v>0</v>
      </c>
      <c r="H94" s="60">
        <f t="shared" si="61"/>
        <v>0</v>
      </c>
      <c r="I94" s="7">
        <f t="shared" si="61"/>
        <v>0</v>
      </c>
      <c r="J94" s="60">
        <f t="shared" si="61"/>
        <v>0</v>
      </c>
      <c r="K94" s="7">
        <f t="shared" si="61"/>
        <v>0</v>
      </c>
      <c r="L94" s="60">
        <f t="shared" si="61"/>
        <v>0</v>
      </c>
      <c r="M94" s="7">
        <f t="shared" si="61"/>
        <v>0</v>
      </c>
      <c r="N94" s="60">
        <f t="shared" si="61"/>
        <v>0</v>
      </c>
      <c r="O94" s="7">
        <f t="shared" si="61"/>
        <v>0</v>
      </c>
      <c r="P94" s="60">
        <f t="shared" si="61"/>
        <v>0</v>
      </c>
      <c r="Q94" s="7">
        <f t="shared" si="61"/>
        <v>0</v>
      </c>
      <c r="R94" s="60">
        <f t="shared" si="61"/>
        <v>0</v>
      </c>
      <c r="S94" s="7">
        <f t="shared" si="61"/>
        <v>0</v>
      </c>
      <c r="T94" s="60">
        <f t="shared" si="61"/>
        <v>0</v>
      </c>
      <c r="U94" s="7">
        <f t="shared" si="61"/>
        <v>0</v>
      </c>
      <c r="V94" s="60">
        <f t="shared" si="61"/>
        <v>0</v>
      </c>
      <c r="W94" s="7">
        <f t="shared" si="61"/>
        <v>0</v>
      </c>
      <c r="X94" s="60">
        <f t="shared" si="61"/>
        <v>0</v>
      </c>
      <c r="Y94" s="7">
        <f t="shared" si="61"/>
        <v>0</v>
      </c>
      <c r="Z94" s="60">
        <f t="shared" si="61"/>
        <v>0</v>
      </c>
      <c r="AA94" s="7">
        <f t="shared" si="61"/>
        <v>0</v>
      </c>
      <c r="AB94" s="60">
        <f t="shared" si="61"/>
        <v>0</v>
      </c>
      <c r="AC94" s="7">
        <f t="shared" si="61"/>
        <v>0</v>
      </c>
      <c r="AD94" s="60">
        <f t="shared" si="61"/>
        <v>0</v>
      </c>
      <c r="AE94" s="7">
        <f t="shared" si="61"/>
        <v>0</v>
      </c>
      <c r="AF94" s="60">
        <f t="shared" si="61"/>
        <v>0</v>
      </c>
      <c r="AG94" s="7">
        <f t="shared" si="61"/>
        <v>0</v>
      </c>
      <c r="AH94" s="60">
        <f t="shared" si="61"/>
        <v>0</v>
      </c>
      <c r="AI94" s="7">
        <f t="shared" ref="AI94:BN94" si="62">IF(ISERROR((AI62-AI30)/AI30),0,((AI62-AI30)/AI30))</f>
        <v>0</v>
      </c>
      <c r="AJ94" s="60">
        <f t="shared" si="62"/>
        <v>0</v>
      </c>
      <c r="AK94" s="7">
        <f t="shared" si="62"/>
        <v>0</v>
      </c>
      <c r="AL94" s="60">
        <f t="shared" si="62"/>
        <v>0</v>
      </c>
      <c r="AM94" s="7">
        <f t="shared" si="62"/>
        <v>0</v>
      </c>
      <c r="AN94" s="60">
        <f t="shared" si="62"/>
        <v>0</v>
      </c>
      <c r="AO94" s="7">
        <f t="shared" si="62"/>
        <v>0</v>
      </c>
      <c r="AP94" s="60">
        <f t="shared" si="62"/>
        <v>0</v>
      </c>
      <c r="AQ94" s="7">
        <f t="shared" si="62"/>
        <v>0</v>
      </c>
      <c r="AR94" s="60">
        <f t="shared" si="62"/>
        <v>0</v>
      </c>
      <c r="AS94" s="7">
        <f t="shared" si="62"/>
        <v>0</v>
      </c>
      <c r="AT94" s="60">
        <f t="shared" si="62"/>
        <v>0</v>
      </c>
      <c r="AU94" s="7">
        <f t="shared" si="62"/>
        <v>0</v>
      </c>
      <c r="AV94" s="60">
        <f t="shared" si="62"/>
        <v>0</v>
      </c>
      <c r="AW94" s="7">
        <f t="shared" si="62"/>
        <v>0</v>
      </c>
      <c r="AX94" s="60">
        <f t="shared" si="62"/>
        <v>0</v>
      </c>
      <c r="AY94" s="7">
        <f t="shared" si="62"/>
        <v>0</v>
      </c>
      <c r="AZ94" s="60">
        <f t="shared" si="62"/>
        <v>0</v>
      </c>
      <c r="BA94" s="7">
        <f t="shared" si="62"/>
        <v>0</v>
      </c>
      <c r="BB94" s="60">
        <f t="shared" si="62"/>
        <v>0</v>
      </c>
      <c r="BC94" s="7">
        <f t="shared" si="62"/>
        <v>0</v>
      </c>
      <c r="BD94" s="60">
        <f t="shared" si="62"/>
        <v>0</v>
      </c>
      <c r="BE94" s="7">
        <f t="shared" si="62"/>
        <v>0</v>
      </c>
      <c r="BF94" s="60">
        <f t="shared" si="62"/>
        <v>0</v>
      </c>
      <c r="BG94" s="7">
        <f t="shared" si="62"/>
        <v>0</v>
      </c>
      <c r="BH94" s="60">
        <f t="shared" si="62"/>
        <v>0</v>
      </c>
      <c r="BI94" s="7">
        <f t="shared" si="62"/>
        <v>0</v>
      </c>
      <c r="BJ94" s="60">
        <f t="shared" si="62"/>
        <v>0</v>
      </c>
      <c r="BK94" s="7">
        <f t="shared" si="62"/>
        <v>0</v>
      </c>
      <c r="BL94" s="60">
        <f t="shared" si="62"/>
        <v>0</v>
      </c>
      <c r="BM94" s="7">
        <f t="shared" si="62"/>
        <v>0</v>
      </c>
      <c r="BN94" s="60">
        <f t="shared" si="62"/>
        <v>0</v>
      </c>
      <c r="BO94" s="100">
        <f t="shared" si="31"/>
        <v>0</v>
      </c>
      <c r="BP94" s="100">
        <f t="shared" si="32"/>
        <v>0</v>
      </c>
      <c r="BQ94" s="100">
        <f t="shared" si="33"/>
        <v>0</v>
      </c>
    </row>
    <row r="95" spans="1:69">
      <c r="A95" s="47">
        <f>A31</f>
        <v>200</v>
      </c>
      <c r="B95" s="30">
        <f t="shared" si="42"/>
        <v>0.1</v>
      </c>
      <c r="C95" s="7">
        <f t="shared" ref="C95:AH95" si="63">IF(ISERROR((C63-C31)/C31),0,((C63-C31)/C31))</f>
        <v>0</v>
      </c>
      <c r="D95" s="60">
        <f t="shared" si="63"/>
        <v>0</v>
      </c>
      <c r="E95" s="7">
        <f t="shared" si="63"/>
        <v>0</v>
      </c>
      <c r="F95" s="60">
        <f t="shared" si="63"/>
        <v>0</v>
      </c>
      <c r="G95" s="7">
        <f t="shared" si="63"/>
        <v>0</v>
      </c>
      <c r="H95" s="60">
        <f t="shared" si="63"/>
        <v>0</v>
      </c>
      <c r="I95" s="7">
        <f t="shared" si="63"/>
        <v>0</v>
      </c>
      <c r="J95" s="60">
        <f t="shared" si="63"/>
        <v>0</v>
      </c>
      <c r="K95" s="7">
        <f t="shared" si="63"/>
        <v>0</v>
      </c>
      <c r="L95" s="60">
        <f t="shared" si="63"/>
        <v>0</v>
      </c>
      <c r="M95" s="7">
        <f t="shared" si="63"/>
        <v>0</v>
      </c>
      <c r="N95" s="60">
        <f t="shared" si="63"/>
        <v>0</v>
      </c>
      <c r="O95" s="7">
        <f t="shared" si="63"/>
        <v>0</v>
      </c>
      <c r="P95" s="60">
        <f t="shared" si="63"/>
        <v>0</v>
      </c>
      <c r="Q95" s="7">
        <f t="shared" si="63"/>
        <v>0</v>
      </c>
      <c r="R95" s="60">
        <f t="shared" si="63"/>
        <v>0</v>
      </c>
      <c r="S95" s="7">
        <f t="shared" si="63"/>
        <v>0</v>
      </c>
      <c r="T95" s="60">
        <f t="shared" si="63"/>
        <v>0</v>
      </c>
      <c r="U95" s="7">
        <f t="shared" si="63"/>
        <v>0</v>
      </c>
      <c r="V95" s="60">
        <f t="shared" si="63"/>
        <v>0</v>
      </c>
      <c r="W95" s="7">
        <f t="shared" si="63"/>
        <v>0</v>
      </c>
      <c r="X95" s="60">
        <f t="shared" si="63"/>
        <v>0</v>
      </c>
      <c r="Y95" s="7">
        <f t="shared" si="63"/>
        <v>0</v>
      </c>
      <c r="Z95" s="60">
        <f t="shared" si="63"/>
        <v>0</v>
      </c>
      <c r="AA95" s="7">
        <f t="shared" si="63"/>
        <v>0</v>
      </c>
      <c r="AB95" s="60">
        <f t="shared" si="63"/>
        <v>0</v>
      </c>
      <c r="AC95" s="7">
        <f t="shared" si="63"/>
        <v>0</v>
      </c>
      <c r="AD95" s="60">
        <f t="shared" si="63"/>
        <v>0</v>
      </c>
      <c r="AE95" s="7">
        <f t="shared" si="63"/>
        <v>0</v>
      </c>
      <c r="AF95" s="60">
        <f t="shared" si="63"/>
        <v>0</v>
      </c>
      <c r="AG95" s="7">
        <f t="shared" si="63"/>
        <v>0</v>
      </c>
      <c r="AH95" s="60">
        <f t="shared" si="63"/>
        <v>0</v>
      </c>
      <c r="AI95" s="7">
        <f t="shared" ref="AI95:BN95" si="64">IF(ISERROR((AI63-AI31)/AI31),0,((AI63-AI31)/AI31))</f>
        <v>0</v>
      </c>
      <c r="AJ95" s="60">
        <f t="shared" si="64"/>
        <v>0</v>
      </c>
      <c r="AK95" s="7">
        <f t="shared" si="64"/>
        <v>0</v>
      </c>
      <c r="AL95" s="60">
        <f t="shared" si="64"/>
        <v>0</v>
      </c>
      <c r="AM95" s="7">
        <f t="shared" si="64"/>
        <v>0</v>
      </c>
      <c r="AN95" s="60">
        <f t="shared" si="64"/>
        <v>0</v>
      </c>
      <c r="AO95" s="7">
        <f t="shared" si="64"/>
        <v>0</v>
      </c>
      <c r="AP95" s="60">
        <f t="shared" si="64"/>
        <v>0</v>
      </c>
      <c r="AQ95" s="7">
        <f t="shared" si="64"/>
        <v>0</v>
      </c>
      <c r="AR95" s="60">
        <f t="shared" si="64"/>
        <v>0</v>
      </c>
      <c r="AS95" s="7">
        <f t="shared" si="64"/>
        <v>0</v>
      </c>
      <c r="AT95" s="60">
        <f t="shared" si="64"/>
        <v>0</v>
      </c>
      <c r="AU95" s="7">
        <f t="shared" si="64"/>
        <v>0</v>
      </c>
      <c r="AV95" s="60">
        <f t="shared" si="64"/>
        <v>0</v>
      </c>
      <c r="AW95" s="7">
        <f t="shared" si="64"/>
        <v>0</v>
      </c>
      <c r="AX95" s="60">
        <f t="shared" si="64"/>
        <v>0</v>
      </c>
      <c r="AY95" s="7">
        <f t="shared" si="64"/>
        <v>0</v>
      </c>
      <c r="AZ95" s="60">
        <f t="shared" si="64"/>
        <v>0</v>
      </c>
      <c r="BA95" s="7">
        <f t="shared" si="64"/>
        <v>0</v>
      </c>
      <c r="BB95" s="60">
        <f t="shared" si="64"/>
        <v>0</v>
      </c>
      <c r="BC95" s="7">
        <f t="shared" si="64"/>
        <v>0</v>
      </c>
      <c r="BD95" s="60">
        <f t="shared" si="64"/>
        <v>0</v>
      </c>
      <c r="BE95" s="7">
        <f t="shared" si="64"/>
        <v>0</v>
      </c>
      <c r="BF95" s="60">
        <f t="shared" si="64"/>
        <v>0</v>
      </c>
      <c r="BG95" s="7">
        <f t="shared" si="64"/>
        <v>0</v>
      </c>
      <c r="BH95" s="60">
        <f t="shared" si="64"/>
        <v>0</v>
      </c>
      <c r="BI95" s="7">
        <f t="shared" si="64"/>
        <v>0</v>
      </c>
      <c r="BJ95" s="60">
        <f t="shared" si="64"/>
        <v>0</v>
      </c>
      <c r="BK95" s="7">
        <f t="shared" si="64"/>
        <v>0</v>
      </c>
      <c r="BL95" s="60">
        <f t="shared" si="64"/>
        <v>0</v>
      </c>
      <c r="BM95" s="7">
        <f t="shared" si="64"/>
        <v>0</v>
      </c>
      <c r="BN95" s="60">
        <f t="shared" si="64"/>
        <v>0</v>
      </c>
      <c r="BO95" s="100">
        <f t="shared" si="31"/>
        <v>0</v>
      </c>
      <c r="BP95" s="100">
        <f t="shared" si="32"/>
        <v>0</v>
      </c>
      <c r="BQ95" s="100">
        <f t="shared" si="33"/>
        <v>0</v>
      </c>
    </row>
    <row r="96" spans="1:69">
      <c r="A96" s="47">
        <f>A32</f>
        <v>200</v>
      </c>
      <c r="B96" s="30">
        <f t="shared" si="42"/>
        <v>0.2</v>
      </c>
      <c r="C96" s="7">
        <f t="shared" ref="C96:AH96" si="65">IF(ISERROR((C64-C32)/C32),0,((C64-C32)/C32))</f>
        <v>0</v>
      </c>
      <c r="D96" s="60">
        <f t="shared" si="65"/>
        <v>0</v>
      </c>
      <c r="E96" s="7">
        <f t="shared" si="65"/>
        <v>0</v>
      </c>
      <c r="F96" s="60">
        <f t="shared" si="65"/>
        <v>0</v>
      </c>
      <c r="G96" s="7">
        <f t="shared" si="65"/>
        <v>0</v>
      </c>
      <c r="H96" s="60">
        <f t="shared" si="65"/>
        <v>0</v>
      </c>
      <c r="I96" s="7">
        <f t="shared" si="65"/>
        <v>0</v>
      </c>
      <c r="J96" s="60">
        <f t="shared" si="65"/>
        <v>0</v>
      </c>
      <c r="K96" s="7">
        <f t="shared" si="65"/>
        <v>0</v>
      </c>
      <c r="L96" s="60">
        <f t="shared" si="65"/>
        <v>0</v>
      </c>
      <c r="M96" s="7">
        <f t="shared" si="65"/>
        <v>0</v>
      </c>
      <c r="N96" s="60">
        <f t="shared" si="65"/>
        <v>0</v>
      </c>
      <c r="O96" s="7">
        <f t="shared" si="65"/>
        <v>0</v>
      </c>
      <c r="P96" s="60">
        <f t="shared" si="65"/>
        <v>0</v>
      </c>
      <c r="Q96" s="7">
        <f t="shared" si="65"/>
        <v>0</v>
      </c>
      <c r="R96" s="60">
        <f t="shared" si="65"/>
        <v>0</v>
      </c>
      <c r="S96" s="7">
        <f t="shared" si="65"/>
        <v>0</v>
      </c>
      <c r="T96" s="60">
        <f t="shared" si="65"/>
        <v>0</v>
      </c>
      <c r="U96" s="7">
        <f t="shared" si="65"/>
        <v>0</v>
      </c>
      <c r="V96" s="60">
        <f t="shared" si="65"/>
        <v>0</v>
      </c>
      <c r="W96" s="7">
        <f t="shared" si="65"/>
        <v>0</v>
      </c>
      <c r="X96" s="60">
        <f t="shared" si="65"/>
        <v>0</v>
      </c>
      <c r="Y96" s="7">
        <f t="shared" si="65"/>
        <v>0</v>
      </c>
      <c r="Z96" s="60">
        <f t="shared" si="65"/>
        <v>0</v>
      </c>
      <c r="AA96" s="7">
        <f t="shared" si="65"/>
        <v>0</v>
      </c>
      <c r="AB96" s="60">
        <f t="shared" si="65"/>
        <v>0</v>
      </c>
      <c r="AC96" s="7">
        <f t="shared" si="65"/>
        <v>0</v>
      </c>
      <c r="AD96" s="60">
        <f t="shared" si="65"/>
        <v>0</v>
      </c>
      <c r="AE96" s="7">
        <f t="shared" si="65"/>
        <v>0</v>
      </c>
      <c r="AF96" s="60">
        <f t="shared" si="65"/>
        <v>0</v>
      </c>
      <c r="AG96" s="7">
        <f t="shared" si="65"/>
        <v>0</v>
      </c>
      <c r="AH96" s="60">
        <f t="shared" si="65"/>
        <v>0</v>
      </c>
      <c r="AI96" s="7">
        <f t="shared" ref="AI96:BN96" si="66">IF(ISERROR((AI64-AI32)/AI32),0,((AI64-AI32)/AI32))</f>
        <v>0</v>
      </c>
      <c r="AJ96" s="60">
        <f t="shared" si="66"/>
        <v>0</v>
      </c>
      <c r="AK96" s="7">
        <f t="shared" si="66"/>
        <v>0</v>
      </c>
      <c r="AL96" s="60">
        <f t="shared" si="66"/>
        <v>0</v>
      </c>
      <c r="AM96" s="7">
        <f t="shared" si="66"/>
        <v>0</v>
      </c>
      <c r="AN96" s="60">
        <f t="shared" si="66"/>
        <v>0</v>
      </c>
      <c r="AO96" s="7">
        <f t="shared" si="66"/>
        <v>0</v>
      </c>
      <c r="AP96" s="60">
        <f t="shared" si="66"/>
        <v>0</v>
      </c>
      <c r="AQ96" s="7">
        <f t="shared" si="66"/>
        <v>0</v>
      </c>
      <c r="AR96" s="60">
        <f t="shared" si="66"/>
        <v>0</v>
      </c>
      <c r="AS96" s="7">
        <f t="shared" si="66"/>
        <v>0</v>
      </c>
      <c r="AT96" s="60">
        <f t="shared" si="66"/>
        <v>0</v>
      </c>
      <c r="AU96" s="7">
        <f t="shared" si="66"/>
        <v>0</v>
      </c>
      <c r="AV96" s="60">
        <f t="shared" si="66"/>
        <v>0</v>
      </c>
      <c r="AW96" s="7">
        <f t="shared" si="66"/>
        <v>0</v>
      </c>
      <c r="AX96" s="60">
        <f t="shared" si="66"/>
        <v>0</v>
      </c>
      <c r="AY96" s="7">
        <f t="shared" si="66"/>
        <v>0</v>
      </c>
      <c r="AZ96" s="60">
        <f t="shared" si="66"/>
        <v>0</v>
      </c>
      <c r="BA96" s="7">
        <f t="shared" si="66"/>
        <v>0</v>
      </c>
      <c r="BB96" s="60">
        <f t="shared" si="66"/>
        <v>0</v>
      </c>
      <c r="BC96" s="7">
        <f t="shared" si="66"/>
        <v>0</v>
      </c>
      <c r="BD96" s="60">
        <f t="shared" si="66"/>
        <v>0</v>
      </c>
      <c r="BE96" s="7">
        <f t="shared" si="66"/>
        <v>0</v>
      </c>
      <c r="BF96" s="60">
        <f t="shared" si="66"/>
        <v>0</v>
      </c>
      <c r="BG96" s="7">
        <f t="shared" si="66"/>
        <v>0</v>
      </c>
      <c r="BH96" s="60">
        <f t="shared" si="66"/>
        <v>0</v>
      </c>
      <c r="BI96" s="7">
        <f t="shared" si="66"/>
        <v>0</v>
      </c>
      <c r="BJ96" s="60">
        <f t="shared" si="66"/>
        <v>0</v>
      </c>
      <c r="BK96" s="7">
        <f t="shared" si="66"/>
        <v>0</v>
      </c>
      <c r="BL96" s="60">
        <f t="shared" si="66"/>
        <v>0</v>
      </c>
      <c r="BM96" s="7">
        <f t="shared" si="66"/>
        <v>0</v>
      </c>
      <c r="BN96" s="60">
        <f t="shared" si="66"/>
        <v>0</v>
      </c>
      <c r="BO96" s="100">
        <f t="shared" si="31"/>
        <v>0</v>
      </c>
      <c r="BP96" s="100">
        <f t="shared" si="32"/>
        <v>0</v>
      </c>
      <c r="BQ96" s="100">
        <f t="shared" si="33"/>
        <v>0</v>
      </c>
    </row>
    <row r="97" spans="1:69">
      <c r="A97" s="47">
        <f>A33</f>
        <v>200</v>
      </c>
      <c r="B97" s="30">
        <f t="shared" si="42"/>
        <v>0.3</v>
      </c>
      <c r="C97" s="7">
        <f t="shared" ref="C97:AH97" si="67">IF(ISERROR((C65-C33)/C33),0,((C65-C33)/C33))</f>
        <v>0</v>
      </c>
      <c r="D97" s="60">
        <f t="shared" si="67"/>
        <v>0</v>
      </c>
      <c r="E97" s="7">
        <f t="shared" si="67"/>
        <v>0</v>
      </c>
      <c r="F97" s="60">
        <f t="shared" si="67"/>
        <v>0</v>
      </c>
      <c r="G97" s="7">
        <f t="shared" si="67"/>
        <v>0</v>
      </c>
      <c r="H97" s="60">
        <f t="shared" si="67"/>
        <v>0</v>
      </c>
      <c r="I97" s="7">
        <f t="shared" si="67"/>
        <v>0</v>
      </c>
      <c r="J97" s="60">
        <f t="shared" si="67"/>
        <v>0</v>
      </c>
      <c r="K97" s="7">
        <f t="shared" si="67"/>
        <v>0</v>
      </c>
      <c r="L97" s="60">
        <f t="shared" si="67"/>
        <v>0</v>
      </c>
      <c r="M97" s="7">
        <f t="shared" si="67"/>
        <v>0</v>
      </c>
      <c r="N97" s="60">
        <f t="shared" si="67"/>
        <v>0</v>
      </c>
      <c r="O97" s="7">
        <f t="shared" si="67"/>
        <v>0</v>
      </c>
      <c r="P97" s="60">
        <f t="shared" si="67"/>
        <v>0</v>
      </c>
      <c r="Q97" s="7">
        <f t="shared" si="67"/>
        <v>0</v>
      </c>
      <c r="R97" s="60">
        <f t="shared" si="67"/>
        <v>0</v>
      </c>
      <c r="S97" s="7">
        <f t="shared" si="67"/>
        <v>0</v>
      </c>
      <c r="T97" s="60">
        <f t="shared" si="67"/>
        <v>0</v>
      </c>
      <c r="U97" s="7">
        <f t="shared" si="67"/>
        <v>0</v>
      </c>
      <c r="V97" s="60">
        <f t="shared" si="67"/>
        <v>0</v>
      </c>
      <c r="W97" s="7">
        <f t="shared" si="67"/>
        <v>0</v>
      </c>
      <c r="X97" s="60">
        <f t="shared" si="67"/>
        <v>0</v>
      </c>
      <c r="Y97" s="7">
        <f t="shared" si="67"/>
        <v>0</v>
      </c>
      <c r="Z97" s="60">
        <f t="shared" si="67"/>
        <v>0</v>
      </c>
      <c r="AA97" s="7">
        <f t="shared" si="67"/>
        <v>0</v>
      </c>
      <c r="AB97" s="60">
        <f t="shared" si="67"/>
        <v>0</v>
      </c>
      <c r="AC97" s="7">
        <f t="shared" si="67"/>
        <v>0</v>
      </c>
      <c r="AD97" s="60">
        <f t="shared" si="67"/>
        <v>0</v>
      </c>
      <c r="AE97" s="7">
        <f t="shared" si="67"/>
        <v>0</v>
      </c>
      <c r="AF97" s="60">
        <f t="shared" si="67"/>
        <v>0</v>
      </c>
      <c r="AG97" s="7">
        <f t="shared" si="67"/>
        <v>0</v>
      </c>
      <c r="AH97" s="60">
        <f t="shared" si="67"/>
        <v>0</v>
      </c>
      <c r="AI97" s="7">
        <f t="shared" ref="AI97:BN97" si="68">IF(ISERROR((AI65-AI33)/AI33),0,((AI65-AI33)/AI33))</f>
        <v>0</v>
      </c>
      <c r="AJ97" s="60">
        <f t="shared" si="68"/>
        <v>0</v>
      </c>
      <c r="AK97" s="7">
        <f t="shared" si="68"/>
        <v>0</v>
      </c>
      <c r="AL97" s="60">
        <f t="shared" si="68"/>
        <v>0</v>
      </c>
      <c r="AM97" s="7">
        <f t="shared" si="68"/>
        <v>0</v>
      </c>
      <c r="AN97" s="60">
        <f t="shared" si="68"/>
        <v>0</v>
      </c>
      <c r="AO97" s="7">
        <f t="shared" si="68"/>
        <v>0</v>
      </c>
      <c r="AP97" s="60">
        <f t="shared" si="68"/>
        <v>0</v>
      </c>
      <c r="AQ97" s="7">
        <f t="shared" si="68"/>
        <v>0</v>
      </c>
      <c r="AR97" s="60">
        <f t="shared" si="68"/>
        <v>0</v>
      </c>
      <c r="AS97" s="7">
        <f t="shared" si="68"/>
        <v>0</v>
      </c>
      <c r="AT97" s="60">
        <f t="shared" si="68"/>
        <v>0</v>
      </c>
      <c r="AU97" s="7">
        <f t="shared" si="68"/>
        <v>0</v>
      </c>
      <c r="AV97" s="60">
        <f t="shared" si="68"/>
        <v>0</v>
      </c>
      <c r="AW97" s="7">
        <f t="shared" si="68"/>
        <v>0</v>
      </c>
      <c r="AX97" s="60">
        <f t="shared" si="68"/>
        <v>0</v>
      </c>
      <c r="AY97" s="7">
        <f t="shared" si="68"/>
        <v>0</v>
      </c>
      <c r="AZ97" s="60">
        <f t="shared" si="68"/>
        <v>0</v>
      </c>
      <c r="BA97" s="7">
        <f t="shared" si="68"/>
        <v>0</v>
      </c>
      <c r="BB97" s="60">
        <f t="shared" si="68"/>
        <v>0</v>
      </c>
      <c r="BC97" s="7">
        <f t="shared" si="68"/>
        <v>0</v>
      </c>
      <c r="BD97" s="60">
        <f t="shared" si="68"/>
        <v>0</v>
      </c>
      <c r="BE97" s="7">
        <f t="shared" si="68"/>
        <v>0</v>
      </c>
      <c r="BF97" s="60">
        <f t="shared" si="68"/>
        <v>0</v>
      </c>
      <c r="BG97" s="7">
        <f t="shared" si="68"/>
        <v>0</v>
      </c>
      <c r="BH97" s="60">
        <f t="shared" si="68"/>
        <v>0</v>
      </c>
      <c r="BI97" s="7">
        <f t="shared" si="68"/>
        <v>0</v>
      </c>
      <c r="BJ97" s="60">
        <f t="shared" si="68"/>
        <v>0</v>
      </c>
      <c r="BK97" s="7">
        <f t="shared" si="68"/>
        <v>0</v>
      </c>
      <c r="BL97" s="60">
        <f t="shared" si="68"/>
        <v>0</v>
      </c>
      <c r="BM97" s="7">
        <f t="shared" si="68"/>
        <v>0</v>
      </c>
      <c r="BN97" s="60">
        <f t="shared" si="68"/>
        <v>0</v>
      </c>
      <c r="BO97" s="100">
        <f t="shared" si="31"/>
        <v>0</v>
      </c>
      <c r="BP97" s="100">
        <f t="shared" si="32"/>
        <v>0</v>
      </c>
      <c r="BQ97" s="100">
        <f t="shared" si="33"/>
        <v>0</v>
      </c>
    </row>
    <row r="98" spans="1:69">
      <c r="A98" s="47">
        <f>A34</f>
        <v>200</v>
      </c>
      <c r="B98" s="30">
        <f t="shared" si="42"/>
        <v>0.5</v>
      </c>
      <c r="C98" s="7">
        <f t="shared" ref="C98:AH98" si="69">IF(ISERROR((C66-C34)/C34),0,((C66-C34)/C34))</f>
        <v>0</v>
      </c>
      <c r="D98" s="60">
        <f t="shared" si="69"/>
        <v>0</v>
      </c>
      <c r="E98" s="7">
        <f t="shared" si="69"/>
        <v>0</v>
      </c>
      <c r="F98" s="60">
        <f t="shared" si="69"/>
        <v>0</v>
      </c>
      <c r="G98" s="7">
        <f t="shared" si="69"/>
        <v>0</v>
      </c>
      <c r="H98" s="60">
        <f t="shared" si="69"/>
        <v>0</v>
      </c>
      <c r="I98" s="7">
        <f t="shared" si="69"/>
        <v>0</v>
      </c>
      <c r="J98" s="60">
        <f t="shared" si="69"/>
        <v>0</v>
      </c>
      <c r="K98" s="7">
        <f t="shared" si="69"/>
        <v>0</v>
      </c>
      <c r="L98" s="60">
        <f t="shared" si="69"/>
        <v>0</v>
      </c>
      <c r="M98" s="7">
        <f t="shared" si="69"/>
        <v>0</v>
      </c>
      <c r="N98" s="60">
        <f t="shared" si="69"/>
        <v>0</v>
      </c>
      <c r="O98" s="7">
        <f t="shared" si="69"/>
        <v>0</v>
      </c>
      <c r="P98" s="60">
        <f t="shared" si="69"/>
        <v>0</v>
      </c>
      <c r="Q98" s="7">
        <f t="shared" si="69"/>
        <v>0</v>
      </c>
      <c r="R98" s="60">
        <f t="shared" si="69"/>
        <v>0</v>
      </c>
      <c r="S98" s="7">
        <f t="shared" si="69"/>
        <v>0</v>
      </c>
      <c r="T98" s="60">
        <f t="shared" si="69"/>
        <v>0</v>
      </c>
      <c r="U98" s="7">
        <f t="shared" si="69"/>
        <v>0</v>
      </c>
      <c r="V98" s="60">
        <f t="shared" si="69"/>
        <v>0</v>
      </c>
      <c r="W98" s="7">
        <f t="shared" si="69"/>
        <v>0</v>
      </c>
      <c r="X98" s="60">
        <f t="shared" si="69"/>
        <v>0</v>
      </c>
      <c r="Y98" s="7">
        <f t="shared" si="69"/>
        <v>0</v>
      </c>
      <c r="Z98" s="60">
        <f t="shared" si="69"/>
        <v>0</v>
      </c>
      <c r="AA98" s="7">
        <f t="shared" si="69"/>
        <v>0</v>
      </c>
      <c r="AB98" s="60">
        <f t="shared" si="69"/>
        <v>0</v>
      </c>
      <c r="AC98" s="7">
        <f t="shared" si="69"/>
        <v>0</v>
      </c>
      <c r="AD98" s="60">
        <f t="shared" si="69"/>
        <v>0</v>
      </c>
      <c r="AE98" s="7">
        <f t="shared" si="69"/>
        <v>0</v>
      </c>
      <c r="AF98" s="60">
        <f t="shared" si="69"/>
        <v>0</v>
      </c>
      <c r="AG98" s="7">
        <f t="shared" si="69"/>
        <v>0</v>
      </c>
      <c r="AH98" s="60">
        <f t="shared" si="69"/>
        <v>0</v>
      </c>
      <c r="AI98" s="7">
        <f t="shared" ref="AI98:BN98" si="70">IF(ISERROR((AI66-AI34)/AI34),0,((AI66-AI34)/AI34))</f>
        <v>0</v>
      </c>
      <c r="AJ98" s="60">
        <f t="shared" si="70"/>
        <v>0</v>
      </c>
      <c r="AK98" s="7">
        <f t="shared" si="70"/>
        <v>0</v>
      </c>
      <c r="AL98" s="60">
        <f t="shared" si="70"/>
        <v>0</v>
      </c>
      <c r="AM98" s="7">
        <f t="shared" si="70"/>
        <v>0</v>
      </c>
      <c r="AN98" s="60">
        <f t="shared" si="70"/>
        <v>0</v>
      </c>
      <c r="AO98" s="7">
        <f t="shared" si="70"/>
        <v>0</v>
      </c>
      <c r="AP98" s="60">
        <f t="shared" si="70"/>
        <v>0</v>
      </c>
      <c r="AQ98" s="7">
        <f t="shared" si="70"/>
        <v>0</v>
      </c>
      <c r="AR98" s="60">
        <f t="shared" si="70"/>
        <v>0</v>
      </c>
      <c r="AS98" s="7">
        <f t="shared" si="70"/>
        <v>0</v>
      </c>
      <c r="AT98" s="60">
        <f t="shared" si="70"/>
        <v>0</v>
      </c>
      <c r="AU98" s="7">
        <f t="shared" si="70"/>
        <v>0</v>
      </c>
      <c r="AV98" s="60">
        <f t="shared" si="70"/>
        <v>0</v>
      </c>
      <c r="AW98" s="7">
        <f t="shared" si="70"/>
        <v>0</v>
      </c>
      <c r="AX98" s="60">
        <f t="shared" si="70"/>
        <v>0</v>
      </c>
      <c r="AY98" s="7">
        <f t="shared" si="70"/>
        <v>0</v>
      </c>
      <c r="AZ98" s="60">
        <f t="shared" si="70"/>
        <v>0</v>
      </c>
      <c r="BA98" s="7">
        <f t="shared" si="70"/>
        <v>0</v>
      </c>
      <c r="BB98" s="60">
        <f t="shared" si="70"/>
        <v>0</v>
      </c>
      <c r="BC98" s="7">
        <f t="shared" si="70"/>
        <v>0</v>
      </c>
      <c r="BD98" s="60">
        <f t="shared" si="70"/>
        <v>0</v>
      </c>
      <c r="BE98" s="7">
        <f t="shared" si="70"/>
        <v>0</v>
      </c>
      <c r="BF98" s="60">
        <f t="shared" si="70"/>
        <v>0</v>
      </c>
      <c r="BG98" s="7">
        <f t="shared" si="70"/>
        <v>0</v>
      </c>
      <c r="BH98" s="60">
        <f t="shared" si="70"/>
        <v>0</v>
      </c>
      <c r="BI98" s="7">
        <f t="shared" si="70"/>
        <v>0</v>
      </c>
      <c r="BJ98" s="60">
        <f t="shared" si="70"/>
        <v>0</v>
      </c>
      <c r="BK98" s="7">
        <f t="shared" si="70"/>
        <v>0</v>
      </c>
      <c r="BL98" s="60">
        <f t="shared" si="70"/>
        <v>0</v>
      </c>
      <c r="BM98" s="7">
        <f t="shared" si="70"/>
        <v>0</v>
      </c>
      <c r="BN98" s="60">
        <f t="shared" si="70"/>
        <v>0</v>
      </c>
      <c r="BO98" s="100">
        <f t="shared" si="31"/>
        <v>0</v>
      </c>
      <c r="BP98" s="100">
        <f t="shared" si="32"/>
        <v>0</v>
      </c>
      <c r="BQ98" s="100">
        <f t="shared" si="33"/>
        <v>0</v>
      </c>
    </row>
    <row r="99" spans="1:69">
      <c r="A99" s="47">
        <f>A35</f>
        <v>200</v>
      </c>
      <c r="B99" s="30">
        <f t="shared" si="42"/>
        <v>0.70000000000000007</v>
      </c>
      <c r="C99" s="7">
        <f t="shared" ref="C99:AH99" si="71">IF(ISERROR((C67-C35)/C35),0,((C67-C35)/C35))</f>
        <v>0</v>
      </c>
      <c r="D99" s="60">
        <f t="shared" si="71"/>
        <v>0</v>
      </c>
      <c r="E99" s="7">
        <f t="shared" si="71"/>
        <v>0</v>
      </c>
      <c r="F99" s="60">
        <f t="shared" si="71"/>
        <v>0</v>
      </c>
      <c r="G99" s="7">
        <f t="shared" si="71"/>
        <v>0</v>
      </c>
      <c r="H99" s="60">
        <f t="shared" si="71"/>
        <v>0</v>
      </c>
      <c r="I99" s="7">
        <f t="shared" si="71"/>
        <v>0</v>
      </c>
      <c r="J99" s="60">
        <f t="shared" si="71"/>
        <v>0</v>
      </c>
      <c r="K99" s="7">
        <f t="shared" si="71"/>
        <v>0</v>
      </c>
      <c r="L99" s="60">
        <f t="shared" si="71"/>
        <v>0</v>
      </c>
      <c r="M99" s="7">
        <f t="shared" si="71"/>
        <v>0</v>
      </c>
      <c r="N99" s="60">
        <f t="shared" si="71"/>
        <v>0</v>
      </c>
      <c r="O99" s="7">
        <f t="shared" si="71"/>
        <v>0</v>
      </c>
      <c r="P99" s="60">
        <f t="shared" si="71"/>
        <v>0</v>
      </c>
      <c r="Q99" s="7">
        <f t="shared" si="71"/>
        <v>0</v>
      </c>
      <c r="R99" s="60">
        <f t="shared" si="71"/>
        <v>0</v>
      </c>
      <c r="S99" s="7">
        <f t="shared" si="71"/>
        <v>0</v>
      </c>
      <c r="T99" s="60">
        <f t="shared" si="71"/>
        <v>0</v>
      </c>
      <c r="U99" s="7">
        <f t="shared" si="71"/>
        <v>0</v>
      </c>
      <c r="V99" s="60">
        <f t="shared" si="71"/>
        <v>0</v>
      </c>
      <c r="W99" s="7">
        <f t="shared" si="71"/>
        <v>0</v>
      </c>
      <c r="X99" s="60">
        <f t="shared" si="71"/>
        <v>0</v>
      </c>
      <c r="Y99" s="7">
        <f t="shared" si="71"/>
        <v>0</v>
      </c>
      <c r="Z99" s="60">
        <f t="shared" si="71"/>
        <v>0</v>
      </c>
      <c r="AA99" s="7">
        <f t="shared" si="71"/>
        <v>0</v>
      </c>
      <c r="AB99" s="60">
        <f t="shared" si="71"/>
        <v>0</v>
      </c>
      <c r="AC99" s="7">
        <f t="shared" si="71"/>
        <v>0</v>
      </c>
      <c r="AD99" s="60">
        <f t="shared" si="71"/>
        <v>0</v>
      </c>
      <c r="AE99" s="7">
        <f t="shared" si="71"/>
        <v>0</v>
      </c>
      <c r="AF99" s="60">
        <f t="shared" si="71"/>
        <v>0</v>
      </c>
      <c r="AG99" s="7">
        <f t="shared" si="71"/>
        <v>0</v>
      </c>
      <c r="AH99" s="60">
        <f t="shared" si="71"/>
        <v>0</v>
      </c>
      <c r="AI99" s="7">
        <f t="shared" ref="AI99:BN99" si="72">IF(ISERROR((AI67-AI35)/AI35),0,((AI67-AI35)/AI35))</f>
        <v>0</v>
      </c>
      <c r="AJ99" s="60">
        <f t="shared" si="72"/>
        <v>0</v>
      </c>
      <c r="AK99" s="7">
        <f t="shared" si="72"/>
        <v>0</v>
      </c>
      <c r="AL99" s="60">
        <f t="shared" si="72"/>
        <v>0</v>
      </c>
      <c r="AM99" s="7">
        <f t="shared" si="72"/>
        <v>0</v>
      </c>
      <c r="AN99" s="60">
        <f t="shared" si="72"/>
        <v>0</v>
      </c>
      <c r="AO99" s="7">
        <f t="shared" si="72"/>
        <v>0</v>
      </c>
      <c r="AP99" s="60">
        <f t="shared" si="72"/>
        <v>0</v>
      </c>
      <c r="AQ99" s="7">
        <f t="shared" si="72"/>
        <v>0</v>
      </c>
      <c r="AR99" s="60">
        <f t="shared" si="72"/>
        <v>0</v>
      </c>
      <c r="AS99" s="7">
        <f t="shared" si="72"/>
        <v>0</v>
      </c>
      <c r="AT99" s="60">
        <f t="shared" si="72"/>
        <v>0</v>
      </c>
      <c r="AU99" s="7">
        <f t="shared" si="72"/>
        <v>0</v>
      </c>
      <c r="AV99" s="60">
        <f t="shared" si="72"/>
        <v>0</v>
      </c>
      <c r="AW99" s="7">
        <f t="shared" si="72"/>
        <v>0</v>
      </c>
      <c r="AX99" s="60">
        <f t="shared" si="72"/>
        <v>0</v>
      </c>
      <c r="AY99" s="7">
        <f t="shared" si="72"/>
        <v>0</v>
      </c>
      <c r="AZ99" s="60">
        <f t="shared" si="72"/>
        <v>0</v>
      </c>
      <c r="BA99" s="7">
        <f t="shared" si="72"/>
        <v>0</v>
      </c>
      <c r="BB99" s="60">
        <f t="shared" si="72"/>
        <v>0</v>
      </c>
      <c r="BC99" s="7">
        <f t="shared" si="72"/>
        <v>0</v>
      </c>
      <c r="BD99" s="60">
        <f t="shared" si="72"/>
        <v>0</v>
      </c>
      <c r="BE99" s="7">
        <f t="shared" si="72"/>
        <v>0</v>
      </c>
      <c r="BF99" s="60">
        <f t="shared" si="72"/>
        <v>0</v>
      </c>
      <c r="BG99" s="7">
        <f t="shared" si="72"/>
        <v>0</v>
      </c>
      <c r="BH99" s="60">
        <f t="shared" si="72"/>
        <v>0</v>
      </c>
      <c r="BI99" s="7">
        <f t="shared" si="72"/>
        <v>0</v>
      </c>
      <c r="BJ99" s="60">
        <f t="shared" si="72"/>
        <v>0</v>
      </c>
      <c r="BK99" s="7">
        <f t="shared" si="72"/>
        <v>0</v>
      </c>
      <c r="BL99" s="60">
        <f t="shared" si="72"/>
        <v>0</v>
      </c>
      <c r="BM99" s="7">
        <f t="shared" si="72"/>
        <v>0</v>
      </c>
      <c r="BN99" s="60">
        <f t="shared" si="72"/>
        <v>0</v>
      </c>
      <c r="BO99" s="100">
        <f t="shared" si="31"/>
        <v>0</v>
      </c>
      <c r="BP99" s="100">
        <f t="shared" si="32"/>
        <v>0</v>
      </c>
      <c r="BQ99" s="100">
        <f t="shared" si="33"/>
        <v>0</v>
      </c>
    </row>
    <row r="100" spans="1:69" s="43" customFormat="1">
      <c r="A100" s="47">
        <f>A36</f>
        <v>100</v>
      </c>
      <c r="B100" s="41">
        <f t="shared" si="42"/>
        <v>1</v>
      </c>
      <c r="C100" s="44">
        <f t="shared" ref="C100:AH100" si="73">IF(ISERROR((C68-C36)/C36),0,((C68-C36)/C36))</f>
        <v>0</v>
      </c>
      <c r="D100" s="61">
        <f t="shared" si="73"/>
        <v>0</v>
      </c>
      <c r="E100" s="44">
        <f t="shared" si="73"/>
        <v>0</v>
      </c>
      <c r="F100" s="61">
        <f t="shared" si="73"/>
        <v>0</v>
      </c>
      <c r="G100" s="44">
        <f t="shared" si="73"/>
        <v>0</v>
      </c>
      <c r="H100" s="61">
        <f t="shared" si="73"/>
        <v>0</v>
      </c>
      <c r="I100" s="44">
        <f t="shared" si="73"/>
        <v>0</v>
      </c>
      <c r="J100" s="61">
        <f t="shared" si="73"/>
        <v>0</v>
      </c>
      <c r="K100" s="44">
        <f t="shared" si="73"/>
        <v>0</v>
      </c>
      <c r="L100" s="61">
        <f t="shared" si="73"/>
        <v>0</v>
      </c>
      <c r="M100" s="44">
        <f t="shared" si="73"/>
        <v>0</v>
      </c>
      <c r="N100" s="61">
        <f t="shared" si="73"/>
        <v>0</v>
      </c>
      <c r="O100" s="44">
        <f t="shared" si="73"/>
        <v>0</v>
      </c>
      <c r="P100" s="61">
        <f t="shared" si="73"/>
        <v>0</v>
      </c>
      <c r="Q100" s="44">
        <f t="shared" si="73"/>
        <v>0</v>
      </c>
      <c r="R100" s="61">
        <f t="shared" si="73"/>
        <v>0</v>
      </c>
      <c r="S100" s="44">
        <f t="shared" si="73"/>
        <v>0</v>
      </c>
      <c r="T100" s="61">
        <f t="shared" si="73"/>
        <v>0</v>
      </c>
      <c r="U100" s="44">
        <f t="shared" si="73"/>
        <v>0</v>
      </c>
      <c r="V100" s="61">
        <f t="shared" si="73"/>
        <v>0</v>
      </c>
      <c r="W100" s="44">
        <f t="shared" si="73"/>
        <v>0</v>
      </c>
      <c r="X100" s="61">
        <f t="shared" si="73"/>
        <v>0</v>
      </c>
      <c r="Y100" s="44">
        <f t="shared" si="73"/>
        <v>0</v>
      </c>
      <c r="Z100" s="61">
        <f t="shared" si="73"/>
        <v>0</v>
      </c>
      <c r="AA100" s="44">
        <f t="shared" si="73"/>
        <v>0</v>
      </c>
      <c r="AB100" s="61">
        <f t="shared" si="73"/>
        <v>0</v>
      </c>
      <c r="AC100" s="44">
        <f t="shared" si="73"/>
        <v>0</v>
      </c>
      <c r="AD100" s="61">
        <f t="shared" si="73"/>
        <v>0</v>
      </c>
      <c r="AE100" s="44">
        <f t="shared" si="73"/>
        <v>0</v>
      </c>
      <c r="AF100" s="61">
        <f t="shared" si="73"/>
        <v>0</v>
      </c>
      <c r="AG100" s="44">
        <f t="shared" si="73"/>
        <v>0</v>
      </c>
      <c r="AH100" s="61">
        <f t="shared" si="73"/>
        <v>0</v>
      </c>
      <c r="AI100" s="44">
        <f t="shared" ref="AI100:BN100" si="74">IF(ISERROR((AI68-AI36)/AI36),0,((AI68-AI36)/AI36))</f>
        <v>0</v>
      </c>
      <c r="AJ100" s="61">
        <f t="shared" si="74"/>
        <v>0</v>
      </c>
      <c r="AK100" s="44">
        <f t="shared" si="74"/>
        <v>0</v>
      </c>
      <c r="AL100" s="61">
        <f t="shared" si="74"/>
        <v>0</v>
      </c>
      <c r="AM100" s="44">
        <f t="shared" si="74"/>
        <v>0</v>
      </c>
      <c r="AN100" s="61">
        <f t="shared" si="74"/>
        <v>0</v>
      </c>
      <c r="AO100" s="44">
        <f t="shared" si="74"/>
        <v>0</v>
      </c>
      <c r="AP100" s="61">
        <f t="shared" si="74"/>
        <v>0</v>
      </c>
      <c r="AQ100" s="44">
        <f t="shared" si="74"/>
        <v>0</v>
      </c>
      <c r="AR100" s="61">
        <f t="shared" si="74"/>
        <v>0</v>
      </c>
      <c r="AS100" s="44">
        <f t="shared" si="74"/>
        <v>0</v>
      </c>
      <c r="AT100" s="61">
        <f t="shared" si="74"/>
        <v>0</v>
      </c>
      <c r="AU100" s="44">
        <f t="shared" si="74"/>
        <v>0</v>
      </c>
      <c r="AV100" s="61">
        <f t="shared" si="74"/>
        <v>0</v>
      </c>
      <c r="AW100" s="44">
        <f t="shared" si="74"/>
        <v>0</v>
      </c>
      <c r="AX100" s="61">
        <f t="shared" si="74"/>
        <v>0</v>
      </c>
      <c r="AY100" s="44">
        <f t="shared" si="74"/>
        <v>0</v>
      </c>
      <c r="AZ100" s="61">
        <f t="shared" si="74"/>
        <v>0</v>
      </c>
      <c r="BA100" s="44">
        <f t="shared" si="74"/>
        <v>0</v>
      </c>
      <c r="BB100" s="61">
        <f t="shared" si="74"/>
        <v>0</v>
      </c>
      <c r="BC100" s="44">
        <f t="shared" si="74"/>
        <v>0</v>
      </c>
      <c r="BD100" s="61">
        <f t="shared" si="74"/>
        <v>0</v>
      </c>
      <c r="BE100" s="44">
        <f t="shared" si="74"/>
        <v>0</v>
      </c>
      <c r="BF100" s="61">
        <f t="shared" si="74"/>
        <v>0</v>
      </c>
      <c r="BG100" s="44">
        <f t="shared" si="74"/>
        <v>0</v>
      </c>
      <c r="BH100" s="61">
        <f t="shared" si="74"/>
        <v>0</v>
      </c>
      <c r="BI100" s="44">
        <f t="shared" si="74"/>
        <v>0</v>
      </c>
      <c r="BJ100" s="61">
        <f t="shared" si="74"/>
        <v>0</v>
      </c>
      <c r="BK100" s="44">
        <f t="shared" si="74"/>
        <v>0</v>
      </c>
      <c r="BL100" s="61">
        <f t="shared" si="74"/>
        <v>0</v>
      </c>
      <c r="BM100" s="44">
        <f t="shared" si="74"/>
        <v>0</v>
      </c>
      <c r="BN100" s="61">
        <f t="shared" si="74"/>
        <v>0</v>
      </c>
      <c r="BO100" s="45">
        <f t="shared" si="31"/>
        <v>0</v>
      </c>
      <c r="BP100" s="45">
        <f t="shared" si="32"/>
        <v>0</v>
      </c>
      <c r="BQ100" s="45">
        <f t="shared" si="33"/>
        <v>0</v>
      </c>
    </row>
    <row r="101" spans="1:69">
      <c r="A101" s="47">
        <f>A37</f>
        <v>100</v>
      </c>
      <c r="B101" s="30">
        <f t="shared" si="42"/>
        <v>2</v>
      </c>
      <c r="C101" s="7">
        <f t="shared" ref="C101:AH101" si="75">IF(ISERROR((C69-C37)/C37),0,((C69-C37)/C37))</f>
        <v>0</v>
      </c>
      <c r="D101" s="60">
        <f t="shared" si="75"/>
        <v>0</v>
      </c>
      <c r="E101" s="7">
        <f t="shared" si="75"/>
        <v>0</v>
      </c>
      <c r="F101" s="60">
        <f t="shared" si="75"/>
        <v>0</v>
      </c>
      <c r="G101" s="7">
        <f t="shared" si="75"/>
        <v>0</v>
      </c>
      <c r="H101" s="60">
        <f t="shared" si="75"/>
        <v>0</v>
      </c>
      <c r="I101" s="7">
        <f t="shared" si="75"/>
        <v>0</v>
      </c>
      <c r="J101" s="60">
        <f t="shared" si="75"/>
        <v>0</v>
      </c>
      <c r="K101" s="7">
        <f t="shared" si="75"/>
        <v>0</v>
      </c>
      <c r="L101" s="60">
        <f t="shared" si="75"/>
        <v>0</v>
      </c>
      <c r="M101" s="7">
        <f t="shared" si="75"/>
        <v>0</v>
      </c>
      <c r="N101" s="60">
        <f t="shared" si="75"/>
        <v>0</v>
      </c>
      <c r="O101" s="7">
        <f t="shared" si="75"/>
        <v>0</v>
      </c>
      <c r="P101" s="60">
        <f t="shared" si="75"/>
        <v>0</v>
      </c>
      <c r="Q101" s="7">
        <f t="shared" si="75"/>
        <v>0</v>
      </c>
      <c r="R101" s="60">
        <f t="shared" si="75"/>
        <v>0</v>
      </c>
      <c r="S101" s="7">
        <f t="shared" si="75"/>
        <v>0</v>
      </c>
      <c r="T101" s="60">
        <f t="shared" si="75"/>
        <v>0</v>
      </c>
      <c r="U101" s="7">
        <f t="shared" si="75"/>
        <v>0</v>
      </c>
      <c r="V101" s="60">
        <f t="shared" si="75"/>
        <v>0</v>
      </c>
      <c r="W101" s="7">
        <f t="shared" si="75"/>
        <v>0</v>
      </c>
      <c r="X101" s="60">
        <f t="shared" si="75"/>
        <v>0</v>
      </c>
      <c r="Y101" s="7">
        <f t="shared" si="75"/>
        <v>0</v>
      </c>
      <c r="Z101" s="60">
        <f t="shared" si="75"/>
        <v>0</v>
      </c>
      <c r="AA101" s="7">
        <f t="shared" si="75"/>
        <v>0</v>
      </c>
      <c r="AB101" s="60">
        <f t="shared" si="75"/>
        <v>0</v>
      </c>
      <c r="AC101" s="7">
        <f t="shared" si="75"/>
        <v>0</v>
      </c>
      <c r="AD101" s="60">
        <f t="shared" si="75"/>
        <v>0</v>
      </c>
      <c r="AE101" s="7">
        <f t="shared" si="75"/>
        <v>0</v>
      </c>
      <c r="AF101" s="60">
        <f t="shared" si="75"/>
        <v>0</v>
      </c>
      <c r="AG101" s="7">
        <f t="shared" si="75"/>
        <v>0</v>
      </c>
      <c r="AH101" s="60">
        <f t="shared" si="75"/>
        <v>0</v>
      </c>
      <c r="AI101" s="7">
        <f t="shared" ref="AI101:BN101" si="76">IF(ISERROR((AI69-AI37)/AI37),0,((AI69-AI37)/AI37))</f>
        <v>0</v>
      </c>
      <c r="AJ101" s="60">
        <f t="shared" si="76"/>
        <v>0</v>
      </c>
      <c r="AK101" s="7">
        <f t="shared" si="76"/>
        <v>0</v>
      </c>
      <c r="AL101" s="60">
        <f t="shared" si="76"/>
        <v>0</v>
      </c>
      <c r="AM101" s="7">
        <f t="shared" si="76"/>
        <v>0</v>
      </c>
      <c r="AN101" s="60">
        <f t="shared" si="76"/>
        <v>0</v>
      </c>
      <c r="AO101" s="7">
        <f t="shared" si="76"/>
        <v>0</v>
      </c>
      <c r="AP101" s="60">
        <f t="shared" si="76"/>
        <v>0</v>
      </c>
      <c r="AQ101" s="7">
        <f t="shared" si="76"/>
        <v>0</v>
      </c>
      <c r="AR101" s="60">
        <f t="shared" si="76"/>
        <v>0</v>
      </c>
      <c r="AS101" s="7">
        <f t="shared" si="76"/>
        <v>0</v>
      </c>
      <c r="AT101" s="60">
        <f t="shared" si="76"/>
        <v>0</v>
      </c>
      <c r="AU101" s="7">
        <f t="shared" si="76"/>
        <v>0</v>
      </c>
      <c r="AV101" s="60">
        <f t="shared" si="76"/>
        <v>0</v>
      </c>
      <c r="AW101" s="7">
        <f t="shared" si="76"/>
        <v>0</v>
      </c>
      <c r="AX101" s="60">
        <f t="shared" si="76"/>
        <v>0</v>
      </c>
      <c r="AY101" s="7">
        <f t="shared" si="76"/>
        <v>0</v>
      </c>
      <c r="AZ101" s="60">
        <f t="shared" si="76"/>
        <v>0</v>
      </c>
      <c r="BA101" s="7">
        <f t="shared" si="76"/>
        <v>0</v>
      </c>
      <c r="BB101" s="60">
        <f t="shared" si="76"/>
        <v>0</v>
      </c>
      <c r="BC101" s="7">
        <f t="shared" si="76"/>
        <v>0</v>
      </c>
      <c r="BD101" s="60">
        <f t="shared" si="76"/>
        <v>0</v>
      </c>
      <c r="BE101" s="7">
        <f t="shared" si="76"/>
        <v>0</v>
      </c>
      <c r="BF101" s="60">
        <f t="shared" si="76"/>
        <v>0</v>
      </c>
      <c r="BG101" s="7">
        <f t="shared" si="76"/>
        <v>0</v>
      </c>
      <c r="BH101" s="60">
        <f t="shared" si="76"/>
        <v>0</v>
      </c>
      <c r="BI101" s="7">
        <f t="shared" si="76"/>
        <v>0</v>
      </c>
      <c r="BJ101" s="60">
        <f t="shared" si="76"/>
        <v>0</v>
      </c>
      <c r="BK101" s="7">
        <f t="shared" si="76"/>
        <v>0</v>
      </c>
      <c r="BL101" s="60">
        <f t="shared" si="76"/>
        <v>0</v>
      </c>
      <c r="BM101" s="7">
        <f t="shared" si="76"/>
        <v>0</v>
      </c>
      <c r="BN101" s="60">
        <f t="shared" si="76"/>
        <v>0</v>
      </c>
      <c r="BO101" s="100">
        <f t="shared" si="31"/>
        <v>0</v>
      </c>
      <c r="BP101" s="100">
        <f t="shared" si="32"/>
        <v>0</v>
      </c>
      <c r="BQ101" s="100">
        <f t="shared" si="33"/>
        <v>0</v>
      </c>
    </row>
    <row r="102" spans="1:69">
      <c r="A102" s="47">
        <f>A38</f>
        <v>100</v>
      </c>
      <c r="B102" s="30">
        <f t="shared" si="42"/>
        <v>3</v>
      </c>
      <c r="C102" s="7">
        <f t="shared" ref="C102:AH102" si="77">IF(ISERROR((C70-C38)/C38),0,((C70-C38)/C38))</f>
        <v>0</v>
      </c>
      <c r="D102" s="60">
        <f t="shared" si="77"/>
        <v>0</v>
      </c>
      <c r="E102" s="7">
        <f t="shared" si="77"/>
        <v>0</v>
      </c>
      <c r="F102" s="60">
        <f t="shared" si="77"/>
        <v>0</v>
      </c>
      <c r="G102" s="7">
        <f t="shared" si="77"/>
        <v>0</v>
      </c>
      <c r="H102" s="60">
        <f t="shared" si="77"/>
        <v>0</v>
      </c>
      <c r="I102" s="7">
        <f t="shared" si="77"/>
        <v>0</v>
      </c>
      <c r="J102" s="60">
        <f t="shared" si="77"/>
        <v>0</v>
      </c>
      <c r="K102" s="7">
        <f t="shared" si="77"/>
        <v>0</v>
      </c>
      <c r="L102" s="60">
        <f t="shared" si="77"/>
        <v>0</v>
      </c>
      <c r="M102" s="7">
        <f t="shared" si="77"/>
        <v>0</v>
      </c>
      <c r="N102" s="60">
        <f t="shared" si="77"/>
        <v>0</v>
      </c>
      <c r="O102" s="7">
        <f t="shared" si="77"/>
        <v>0</v>
      </c>
      <c r="P102" s="60">
        <f t="shared" si="77"/>
        <v>0</v>
      </c>
      <c r="Q102" s="7">
        <f t="shared" si="77"/>
        <v>0</v>
      </c>
      <c r="R102" s="60">
        <f t="shared" si="77"/>
        <v>0</v>
      </c>
      <c r="S102" s="7">
        <f t="shared" si="77"/>
        <v>0</v>
      </c>
      <c r="T102" s="60">
        <f t="shared" si="77"/>
        <v>0</v>
      </c>
      <c r="U102" s="7">
        <f t="shared" si="77"/>
        <v>0</v>
      </c>
      <c r="V102" s="60">
        <f t="shared" si="77"/>
        <v>0</v>
      </c>
      <c r="W102" s="7">
        <f t="shared" si="77"/>
        <v>0</v>
      </c>
      <c r="X102" s="60">
        <f t="shared" si="77"/>
        <v>0</v>
      </c>
      <c r="Y102" s="7">
        <f t="shared" si="77"/>
        <v>0</v>
      </c>
      <c r="Z102" s="60">
        <f t="shared" si="77"/>
        <v>0</v>
      </c>
      <c r="AA102" s="7">
        <f t="shared" si="77"/>
        <v>0</v>
      </c>
      <c r="AB102" s="60">
        <f t="shared" si="77"/>
        <v>0</v>
      </c>
      <c r="AC102" s="7">
        <f t="shared" si="77"/>
        <v>0</v>
      </c>
      <c r="AD102" s="60">
        <f t="shared" si="77"/>
        <v>0</v>
      </c>
      <c r="AE102" s="7">
        <f t="shared" si="77"/>
        <v>0</v>
      </c>
      <c r="AF102" s="60">
        <f t="shared" si="77"/>
        <v>0</v>
      </c>
      <c r="AG102" s="7">
        <f t="shared" si="77"/>
        <v>0</v>
      </c>
      <c r="AH102" s="60">
        <f t="shared" si="77"/>
        <v>0</v>
      </c>
      <c r="AI102" s="7">
        <f t="shared" ref="AI102:BN102" si="78">IF(ISERROR((AI70-AI38)/AI38),0,((AI70-AI38)/AI38))</f>
        <v>0</v>
      </c>
      <c r="AJ102" s="60">
        <f t="shared" si="78"/>
        <v>0</v>
      </c>
      <c r="AK102" s="7">
        <f t="shared" si="78"/>
        <v>0</v>
      </c>
      <c r="AL102" s="60">
        <f t="shared" si="78"/>
        <v>0</v>
      </c>
      <c r="AM102" s="7">
        <f t="shared" si="78"/>
        <v>0</v>
      </c>
      <c r="AN102" s="60">
        <f t="shared" si="78"/>
        <v>0</v>
      </c>
      <c r="AO102" s="7">
        <f t="shared" si="78"/>
        <v>0</v>
      </c>
      <c r="AP102" s="60">
        <f t="shared" si="78"/>
        <v>0</v>
      </c>
      <c r="AQ102" s="7">
        <f t="shared" si="78"/>
        <v>0</v>
      </c>
      <c r="AR102" s="60">
        <f t="shared" si="78"/>
        <v>0</v>
      </c>
      <c r="AS102" s="7">
        <f t="shared" si="78"/>
        <v>0</v>
      </c>
      <c r="AT102" s="60">
        <f t="shared" si="78"/>
        <v>0</v>
      </c>
      <c r="AU102" s="7">
        <f t="shared" si="78"/>
        <v>0</v>
      </c>
      <c r="AV102" s="60">
        <f t="shared" si="78"/>
        <v>0</v>
      </c>
      <c r="AW102" s="7">
        <f t="shared" si="78"/>
        <v>0</v>
      </c>
      <c r="AX102" s="60">
        <f t="shared" si="78"/>
        <v>0</v>
      </c>
      <c r="AY102" s="7">
        <f t="shared" si="78"/>
        <v>0</v>
      </c>
      <c r="AZ102" s="60">
        <f t="shared" si="78"/>
        <v>0</v>
      </c>
      <c r="BA102" s="7">
        <f t="shared" si="78"/>
        <v>0</v>
      </c>
      <c r="BB102" s="60">
        <f t="shared" si="78"/>
        <v>0</v>
      </c>
      <c r="BC102" s="7">
        <f t="shared" si="78"/>
        <v>0</v>
      </c>
      <c r="BD102" s="60">
        <f t="shared" si="78"/>
        <v>0</v>
      </c>
      <c r="BE102" s="7">
        <f t="shared" si="78"/>
        <v>0</v>
      </c>
      <c r="BF102" s="60">
        <f t="shared" si="78"/>
        <v>0</v>
      </c>
      <c r="BG102" s="7">
        <f t="shared" si="78"/>
        <v>0</v>
      </c>
      <c r="BH102" s="60">
        <f t="shared" si="78"/>
        <v>0</v>
      </c>
      <c r="BI102" s="7">
        <f t="shared" si="78"/>
        <v>0</v>
      </c>
      <c r="BJ102" s="60">
        <f t="shared" si="78"/>
        <v>0</v>
      </c>
      <c r="BK102" s="7">
        <f t="shared" si="78"/>
        <v>0</v>
      </c>
      <c r="BL102" s="60">
        <f t="shared" si="78"/>
        <v>0</v>
      </c>
      <c r="BM102" s="7">
        <f t="shared" si="78"/>
        <v>0</v>
      </c>
      <c r="BN102" s="60">
        <f t="shared" si="78"/>
        <v>0</v>
      </c>
      <c r="BO102" s="100">
        <f t="shared" si="31"/>
        <v>0</v>
      </c>
      <c r="BP102" s="100">
        <f t="shared" si="32"/>
        <v>0</v>
      </c>
      <c r="BQ102" s="100">
        <f t="shared" si="33"/>
        <v>0</v>
      </c>
    </row>
    <row r="103" spans="1:69">
      <c r="A103" s="47">
        <f>A39</f>
        <v>100</v>
      </c>
      <c r="B103" s="30">
        <f t="shared" si="42"/>
        <v>5</v>
      </c>
      <c r="C103" s="7">
        <f t="shared" ref="C103:AH103" si="79">IF(ISERROR((C71-C39)/C39),0,((C71-C39)/C39))</f>
        <v>0</v>
      </c>
      <c r="D103" s="60">
        <f t="shared" si="79"/>
        <v>0</v>
      </c>
      <c r="E103" s="7">
        <f t="shared" si="79"/>
        <v>0</v>
      </c>
      <c r="F103" s="60">
        <f t="shared" si="79"/>
        <v>0</v>
      </c>
      <c r="G103" s="7">
        <f t="shared" si="79"/>
        <v>0</v>
      </c>
      <c r="H103" s="60">
        <f t="shared" si="79"/>
        <v>0</v>
      </c>
      <c r="I103" s="7">
        <f t="shared" si="79"/>
        <v>0</v>
      </c>
      <c r="J103" s="60">
        <f t="shared" si="79"/>
        <v>0</v>
      </c>
      <c r="K103" s="7">
        <f t="shared" si="79"/>
        <v>0</v>
      </c>
      <c r="L103" s="60">
        <f t="shared" si="79"/>
        <v>0</v>
      </c>
      <c r="M103" s="7">
        <f t="shared" si="79"/>
        <v>0</v>
      </c>
      <c r="N103" s="60">
        <f t="shared" si="79"/>
        <v>0</v>
      </c>
      <c r="O103" s="7">
        <f t="shared" si="79"/>
        <v>0</v>
      </c>
      <c r="P103" s="60">
        <f t="shared" si="79"/>
        <v>0</v>
      </c>
      <c r="Q103" s="7">
        <f t="shared" si="79"/>
        <v>0</v>
      </c>
      <c r="R103" s="60">
        <f t="shared" si="79"/>
        <v>0</v>
      </c>
      <c r="S103" s="7">
        <f t="shared" si="79"/>
        <v>0</v>
      </c>
      <c r="T103" s="60">
        <f t="shared" si="79"/>
        <v>0</v>
      </c>
      <c r="U103" s="7">
        <f t="shared" si="79"/>
        <v>0</v>
      </c>
      <c r="V103" s="60">
        <f t="shared" si="79"/>
        <v>0</v>
      </c>
      <c r="W103" s="7">
        <f t="shared" si="79"/>
        <v>0</v>
      </c>
      <c r="X103" s="60">
        <f t="shared" si="79"/>
        <v>0</v>
      </c>
      <c r="Y103" s="7">
        <f t="shared" si="79"/>
        <v>0</v>
      </c>
      <c r="Z103" s="60">
        <f t="shared" si="79"/>
        <v>0</v>
      </c>
      <c r="AA103" s="7">
        <f t="shared" si="79"/>
        <v>0</v>
      </c>
      <c r="AB103" s="60">
        <f t="shared" si="79"/>
        <v>0</v>
      </c>
      <c r="AC103" s="7">
        <f t="shared" si="79"/>
        <v>0</v>
      </c>
      <c r="AD103" s="60">
        <f t="shared" si="79"/>
        <v>0</v>
      </c>
      <c r="AE103" s="7">
        <f t="shared" si="79"/>
        <v>0</v>
      </c>
      <c r="AF103" s="60">
        <f t="shared" si="79"/>
        <v>0</v>
      </c>
      <c r="AG103" s="7">
        <f t="shared" si="79"/>
        <v>0</v>
      </c>
      <c r="AH103" s="60">
        <f t="shared" si="79"/>
        <v>0</v>
      </c>
      <c r="AI103" s="7">
        <f t="shared" ref="AI103:BN103" si="80">IF(ISERROR((AI71-AI39)/AI39),0,((AI71-AI39)/AI39))</f>
        <v>0</v>
      </c>
      <c r="AJ103" s="60">
        <f t="shared" si="80"/>
        <v>0</v>
      </c>
      <c r="AK103" s="7">
        <f t="shared" si="80"/>
        <v>0</v>
      </c>
      <c r="AL103" s="60">
        <f t="shared" si="80"/>
        <v>0</v>
      </c>
      <c r="AM103" s="7">
        <f t="shared" si="80"/>
        <v>0</v>
      </c>
      <c r="AN103" s="60">
        <f t="shared" si="80"/>
        <v>0</v>
      </c>
      <c r="AO103" s="7">
        <f t="shared" si="80"/>
        <v>0</v>
      </c>
      <c r="AP103" s="60">
        <f t="shared" si="80"/>
        <v>0</v>
      </c>
      <c r="AQ103" s="7">
        <f t="shared" si="80"/>
        <v>0</v>
      </c>
      <c r="AR103" s="60">
        <f t="shared" si="80"/>
        <v>0</v>
      </c>
      <c r="AS103" s="7">
        <f t="shared" si="80"/>
        <v>0</v>
      </c>
      <c r="AT103" s="60">
        <f t="shared" si="80"/>
        <v>0</v>
      </c>
      <c r="AU103" s="7">
        <f t="shared" si="80"/>
        <v>0</v>
      </c>
      <c r="AV103" s="60">
        <f t="shared" si="80"/>
        <v>0</v>
      </c>
      <c r="AW103" s="7">
        <f t="shared" si="80"/>
        <v>0</v>
      </c>
      <c r="AX103" s="60">
        <f t="shared" si="80"/>
        <v>0</v>
      </c>
      <c r="AY103" s="7">
        <f t="shared" si="80"/>
        <v>0</v>
      </c>
      <c r="AZ103" s="60">
        <f t="shared" si="80"/>
        <v>0</v>
      </c>
      <c r="BA103" s="7">
        <f t="shared" si="80"/>
        <v>0</v>
      </c>
      <c r="BB103" s="60">
        <f t="shared" si="80"/>
        <v>0</v>
      </c>
      <c r="BC103" s="7">
        <f t="shared" si="80"/>
        <v>0</v>
      </c>
      <c r="BD103" s="60">
        <f t="shared" si="80"/>
        <v>0</v>
      </c>
      <c r="BE103" s="7">
        <f t="shared" si="80"/>
        <v>0</v>
      </c>
      <c r="BF103" s="60">
        <f t="shared" si="80"/>
        <v>0</v>
      </c>
      <c r="BG103" s="7">
        <f t="shared" si="80"/>
        <v>0</v>
      </c>
      <c r="BH103" s="60">
        <f t="shared" si="80"/>
        <v>0</v>
      </c>
      <c r="BI103" s="7">
        <f t="shared" si="80"/>
        <v>0</v>
      </c>
      <c r="BJ103" s="60">
        <f t="shared" si="80"/>
        <v>0</v>
      </c>
      <c r="BK103" s="7">
        <f t="shared" si="80"/>
        <v>0</v>
      </c>
      <c r="BL103" s="60">
        <f t="shared" si="80"/>
        <v>0</v>
      </c>
      <c r="BM103" s="7">
        <f t="shared" si="80"/>
        <v>0</v>
      </c>
      <c r="BN103" s="60">
        <f t="shared" si="80"/>
        <v>0</v>
      </c>
      <c r="BO103" s="100">
        <f t="shared" si="31"/>
        <v>0</v>
      </c>
      <c r="BP103" s="100">
        <f t="shared" si="32"/>
        <v>0</v>
      </c>
      <c r="BQ103" s="100">
        <f t="shared" si="33"/>
        <v>0</v>
      </c>
    </row>
    <row r="104" spans="1:69">
      <c r="A104" s="47">
        <v>100</v>
      </c>
      <c r="B104" s="30">
        <v>7</v>
      </c>
      <c r="C104" s="7">
        <f t="shared" ref="C104:BN104" si="81">IF(ISERROR((C72-C40)/C40),0,((C72-C40)/C40))</f>
        <v>0</v>
      </c>
      <c r="D104" s="60">
        <f t="shared" si="81"/>
        <v>0</v>
      </c>
      <c r="E104" s="7">
        <f t="shared" si="81"/>
        <v>0</v>
      </c>
      <c r="F104" s="60">
        <f t="shared" si="81"/>
        <v>0</v>
      </c>
      <c r="G104" s="7">
        <f t="shared" si="81"/>
        <v>0</v>
      </c>
      <c r="H104" s="60">
        <f t="shared" si="81"/>
        <v>0</v>
      </c>
      <c r="I104" s="7">
        <f t="shared" si="81"/>
        <v>0</v>
      </c>
      <c r="J104" s="60">
        <f t="shared" si="81"/>
        <v>0</v>
      </c>
      <c r="K104" s="7">
        <f t="shared" si="81"/>
        <v>0</v>
      </c>
      <c r="L104" s="60">
        <f t="shared" si="81"/>
        <v>0</v>
      </c>
      <c r="M104" s="7">
        <f t="shared" si="81"/>
        <v>0</v>
      </c>
      <c r="N104" s="60">
        <f t="shared" si="81"/>
        <v>0</v>
      </c>
      <c r="O104" s="7">
        <f t="shared" si="81"/>
        <v>0</v>
      </c>
      <c r="P104" s="60">
        <f t="shared" si="81"/>
        <v>0</v>
      </c>
      <c r="Q104" s="7">
        <f t="shared" si="81"/>
        <v>0</v>
      </c>
      <c r="R104" s="60">
        <f t="shared" si="81"/>
        <v>0</v>
      </c>
      <c r="S104" s="7">
        <f t="shared" si="81"/>
        <v>0</v>
      </c>
      <c r="T104" s="60">
        <f t="shared" si="81"/>
        <v>0</v>
      </c>
      <c r="U104" s="7">
        <f t="shared" si="81"/>
        <v>0</v>
      </c>
      <c r="V104" s="60">
        <f t="shared" si="81"/>
        <v>0</v>
      </c>
      <c r="W104" s="7">
        <f t="shared" si="81"/>
        <v>0</v>
      </c>
      <c r="X104" s="60">
        <f t="shared" si="81"/>
        <v>0</v>
      </c>
      <c r="Y104" s="7">
        <f t="shared" si="81"/>
        <v>0</v>
      </c>
      <c r="Z104" s="60">
        <f t="shared" si="81"/>
        <v>0</v>
      </c>
      <c r="AA104" s="7">
        <f t="shared" si="81"/>
        <v>0</v>
      </c>
      <c r="AB104" s="60">
        <f t="shared" si="81"/>
        <v>0</v>
      </c>
      <c r="AC104" s="7">
        <f t="shared" si="81"/>
        <v>0</v>
      </c>
      <c r="AD104" s="60">
        <f t="shared" si="81"/>
        <v>0</v>
      </c>
      <c r="AE104" s="7">
        <f t="shared" si="81"/>
        <v>0</v>
      </c>
      <c r="AF104" s="60">
        <f t="shared" si="81"/>
        <v>0</v>
      </c>
      <c r="AG104" s="7">
        <f t="shared" si="81"/>
        <v>0</v>
      </c>
      <c r="AH104" s="60">
        <f t="shared" si="81"/>
        <v>0</v>
      </c>
      <c r="AI104" s="7">
        <f t="shared" si="81"/>
        <v>0</v>
      </c>
      <c r="AJ104" s="60">
        <f t="shared" si="81"/>
        <v>0</v>
      </c>
      <c r="AK104" s="7">
        <f t="shared" si="81"/>
        <v>0</v>
      </c>
      <c r="AL104" s="60">
        <f t="shared" si="81"/>
        <v>0</v>
      </c>
      <c r="AM104" s="7">
        <f t="shared" si="81"/>
        <v>0</v>
      </c>
      <c r="AN104" s="60">
        <f t="shared" si="81"/>
        <v>0</v>
      </c>
      <c r="AO104" s="7">
        <f t="shared" si="81"/>
        <v>0</v>
      </c>
      <c r="AP104" s="60">
        <f t="shared" si="81"/>
        <v>0</v>
      </c>
      <c r="AQ104" s="7">
        <f t="shared" si="81"/>
        <v>0</v>
      </c>
      <c r="AR104" s="60">
        <f t="shared" si="81"/>
        <v>0</v>
      </c>
      <c r="AS104" s="7">
        <f t="shared" si="81"/>
        <v>0</v>
      </c>
      <c r="AT104" s="60">
        <f t="shared" si="81"/>
        <v>0</v>
      </c>
      <c r="AU104" s="7">
        <f t="shared" si="81"/>
        <v>0</v>
      </c>
      <c r="AV104" s="60">
        <f t="shared" si="81"/>
        <v>0</v>
      </c>
      <c r="AW104" s="7">
        <f t="shared" si="81"/>
        <v>0</v>
      </c>
      <c r="AX104" s="60">
        <f t="shared" si="81"/>
        <v>0</v>
      </c>
      <c r="AY104" s="7">
        <f t="shared" si="81"/>
        <v>0</v>
      </c>
      <c r="AZ104" s="60">
        <f t="shared" si="81"/>
        <v>0</v>
      </c>
      <c r="BA104" s="7">
        <f t="shared" si="81"/>
        <v>0</v>
      </c>
      <c r="BB104" s="60">
        <f t="shared" si="81"/>
        <v>0</v>
      </c>
      <c r="BC104" s="7">
        <f t="shared" si="81"/>
        <v>0</v>
      </c>
      <c r="BD104" s="60">
        <f t="shared" si="81"/>
        <v>0</v>
      </c>
      <c r="BE104" s="7">
        <f t="shared" si="81"/>
        <v>0</v>
      </c>
      <c r="BF104" s="60">
        <f t="shared" si="81"/>
        <v>0</v>
      </c>
      <c r="BG104" s="7">
        <f t="shared" si="81"/>
        <v>0</v>
      </c>
      <c r="BH104" s="60">
        <f t="shared" si="81"/>
        <v>0</v>
      </c>
      <c r="BI104" s="7">
        <f t="shared" si="81"/>
        <v>0</v>
      </c>
      <c r="BJ104" s="60">
        <f t="shared" si="81"/>
        <v>0</v>
      </c>
      <c r="BK104" s="7">
        <f t="shared" si="81"/>
        <v>0</v>
      </c>
      <c r="BL104" s="60">
        <f t="shared" si="81"/>
        <v>0</v>
      </c>
      <c r="BM104" s="7">
        <f t="shared" si="81"/>
        <v>0</v>
      </c>
      <c r="BN104" s="60">
        <f t="shared" si="81"/>
        <v>0</v>
      </c>
      <c r="BO104" s="100">
        <f t="shared" ref="BO104:BO108" si="82">MIN(C104:BN104)</f>
        <v>0</v>
      </c>
      <c r="BP104" s="100">
        <f t="shared" ref="BP104:BP108" si="83">AVERAGE(C104:BN104)</f>
        <v>0</v>
      </c>
      <c r="BQ104" s="100">
        <f t="shared" ref="BQ104:BQ108" si="84">MAX(C104:BN104)</f>
        <v>0</v>
      </c>
    </row>
    <row r="105" spans="1:69">
      <c r="A105" s="47">
        <v>50</v>
      </c>
      <c r="B105" s="30">
        <v>10</v>
      </c>
      <c r="C105" s="7">
        <f t="shared" ref="C105:BN105" si="85">IF(ISERROR((C73-C41)/C41),0,((C73-C41)/C41))</f>
        <v>0</v>
      </c>
      <c r="D105" s="60">
        <f t="shared" si="85"/>
        <v>0</v>
      </c>
      <c r="E105" s="7">
        <f t="shared" si="85"/>
        <v>0</v>
      </c>
      <c r="F105" s="60">
        <f t="shared" si="85"/>
        <v>0</v>
      </c>
      <c r="G105" s="7">
        <f t="shared" si="85"/>
        <v>0</v>
      </c>
      <c r="H105" s="60">
        <f t="shared" si="85"/>
        <v>0</v>
      </c>
      <c r="I105" s="7">
        <f t="shared" si="85"/>
        <v>0</v>
      </c>
      <c r="J105" s="60">
        <f t="shared" si="85"/>
        <v>0</v>
      </c>
      <c r="K105" s="7">
        <f t="shared" si="85"/>
        <v>0</v>
      </c>
      <c r="L105" s="60">
        <f t="shared" si="85"/>
        <v>0</v>
      </c>
      <c r="M105" s="7">
        <f t="shared" si="85"/>
        <v>0</v>
      </c>
      <c r="N105" s="60">
        <f t="shared" si="85"/>
        <v>0</v>
      </c>
      <c r="O105" s="7">
        <f t="shared" si="85"/>
        <v>0</v>
      </c>
      <c r="P105" s="60">
        <f t="shared" si="85"/>
        <v>0</v>
      </c>
      <c r="Q105" s="7">
        <f t="shared" si="85"/>
        <v>0</v>
      </c>
      <c r="R105" s="60">
        <f t="shared" si="85"/>
        <v>0</v>
      </c>
      <c r="S105" s="7">
        <f t="shared" si="85"/>
        <v>0</v>
      </c>
      <c r="T105" s="60">
        <f t="shared" si="85"/>
        <v>0</v>
      </c>
      <c r="U105" s="7">
        <f t="shared" si="85"/>
        <v>0</v>
      </c>
      <c r="V105" s="60">
        <f t="shared" si="85"/>
        <v>0</v>
      </c>
      <c r="W105" s="7">
        <f t="shared" si="85"/>
        <v>0</v>
      </c>
      <c r="X105" s="60">
        <f t="shared" si="85"/>
        <v>0</v>
      </c>
      <c r="Y105" s="7">
        <f t="shared" si="85"/>
        <v>0</v>
      </c>
      <c r="Z105" s="60">
        <f t="shared" si="85"/>
        <v>0</v>
      </c>
      <c r="AA105" s="7">
        <f t="shared" si="85"/>
        <v>0</v>
      </c>
      <c r="AB105" s="60">
        <f t="shared" si="85"/>
        <v>0</v>
      </c>
      <c r="AC105" s="7">
        <f t="shared" si="85"/>
        <v>0</v>
      </c>
      <c r="AD105" s="60">
        <f t="shared" si="85"/>
        <v>0</v>
      </c>
      <c r="AE105" s="7">
        <f t="shared" si="85"/>
        <v>0</v>
      </c>
      <c r="AF105" s="60">
        <f t="shared" si="85"/>
        <v>0</v>
      </c>
      <c r="AG105" s="7">
        <f t="shared" si="85"/>
        <v>0</v>
      </c>
      <c r="AH105" s="60">
        <f t="shared" si="85"/>
        <v>0</v>
      </c>
      <c r="AI105" s="7">
        <f t="shared" si="85"/>
        <v>0</v>
      </c>
      <c r="AJ105" s="60">
        <f t="shared" si="85"/>
        <v>0</v>
      </c>
      <c r="AK105" s="7">
        <f t="shared" si="85"/>
        <v>0</v>
      </c>
      <c r="AL105" s="60">
        <f t="shared" si="85"/>
        <v>0</v>
      </c>
      <c r="AM105" s="7">
        <f t="shared" si="85"/>
        <v>0</v>
      </c>
      <c r="AN105" s="60">
        <f t="shared" si="85"/>
        <v>0</v>
      </c>
      <c r="AO105" s="7">
        <f t="shared" si="85"/>
        <v>0</v>
      </c>
      <c r="AP105" s="60">
        <f t="shared" si="85"/>
        <v>0</v>
      </c>
      <c r="AQ105" s="7">
        <f t="shared" si="85"/>
        <v>0</v>
      </c>
      <c r="AR105" s="60">
        <f t="shared" si="85"/>
        <v>0</v>
      </c>
      <c r="AS105" s="7">
        <f t="shared" si="85"/>
        <v>0</v>
      </c>
      <c r="AT105" s="60">
        <f t="shared" si="85"/>
        <v>0</v>
      </c>
      <c r="AU105" s="7">
        <f t="shared" si="85"/>
        <v>0</v>
      </c>
      <c r="AV105" s="60">
        <f t="shared" si="85"/>
        <v>0</v>
      </c>
      <c r="AW105" s="7">
        <f t="shared" si="85"/>
        <v>0</v>
      </c>
      <c r="AX105" s="60">
        <f t="shared" si="85"/>
        <v>0</v>
      </c>
      <c r="AY105" s="7">
        <f t="shared" si="85"/>
        <v>0</v>
      </c>
      <c r="AZ105" s="60">
        <f t="shared" si="85"/>
        <v>0</v>
      </c>
      <c r="BA105" s="7">
        <f t="shared" si="85"/>
        <v>0</v>
      </c>
      <c r="BB105" s="60">
        <f t="shared" si="85"/>
        <v>0</v>
      </c>
      <c r="BC105" s="7">
        <f t="shared" si="85"/>
        <v>0</v>
      </c>
      <c r="BD105" s="60">
        <f t="shared" si="85"/>
        <v>0</v>
      </c>
      <c r="BE105" s="7">
        <f t="shared" si="85"/>
        <v>0</v>
      </c>
      <c r="BF105" s="60">
        <f t="shared" si="85"/>
        <v>0</v>
      </c>
      <c r="BG105" s="7">
        <f t="shared" si="85"/>
        <v>0</v>
      </c>
      <c r="BH105" s="60">
        <f t="shared" si="85"/>
        <v>0</v>
      </c>
      <c r="BI105" s="7">
        <f t="shared" si="85"/>
        <v>0</v>
      </c>
      <c r="BJ105" s="60">
        <f t="shared" si="85"/>
        <v>0</v>
      </c>
      <c r="BK105" s="7">
        <f t="shared" si="85"/>
        <v>0</v>
      </c>
      <c r="BL105" s="60">
        <f t="shared" si="85"/>
        <v>0</v>
      </c>
      <c r="BM105" s="7">
        <f t="shared" si="85"/>
        <v>0</v>
      </c>
      <c r="BN105" s="60">
        <f t="shared" si="85"/>
        <v>0</v>
      </c>
      <c r="BO105" s="100">
        <f t="shared" si="82"/>
        <v>0</v>
      </c>
      <c r="BP105" s="100">
        <f t="shared" si="83"/>
        <v>0</v>
      </c>
      <c r="BQ105" s="100">
        <f t="shared" si="84"/>
        <v>0</v>
      </c>
    </row>
    <row r="106" spans="1:69">
      <c r="A106" s="47">
        <v>50</v>
      </c>
      <c r="B106" s="30">
        <v>13</v>
      </c>
      <c r="C106" s="7">
        <f t="shared" ref="C106:BN106" si="86">IF(ISERROR((C74-C42)/C42),0,((C74-C42)/C42))</f>
        <v>0</v>
      </c>
      <c r="D106" s="60">
        <f t="shared" si="86"/>
        <v>0</v>
      </c>
      <c r="E106" s="7">
        <f t="shared" si="86"/>
        <v>0</v>
      </c>
      <c r="F106" s="60">
        <f t="shared" si="86"/>
        <v>0</v>
      </c>
      <c r="G106" s="7">
        <f t="shared" si="86"/>
        <v>0</v>
      </c>
      <c r="H106" s="60">
        <f t="shared" si="86"/>
        <v>0</v>
      </c>
      <c r="I106" s="7">
        <f t="shared" si="86"/>
        <v>0</v>
      </c>
      <c r="J106" s="60">
        <f t="shared" si="86"/>
        <v>0</v>
      </c>
      <c r="K106" s="7">
        <f t="shared" si="86"/>
        <v>0</v>
      </c>
      <c r="L106" s="60">
        <f t="shared" si="86"/>
        <v>0</v>
      </c>
      <c r="M106" s="7">
        <f t="shared" si="86"/>
        <v>0</v>
      </c>
      <c r="N106" s="60">
        <f t="shared" si="86"/>
        <v>0</v>
      </c>
      <c r="O106" s="7">
        <f t="shared" si="86"/>
        <v>0</v>
      </c>
      <c r="P106" s="60">
        <f t="shared" si="86"/>
        <v>0</v>
      </c>
      <c r="Q106" s="7">
        <f t="shared" si="86"/>
        <v>0</v>
      </c>
      <c r="R106" s="60">
        <f t="shared" si="86"/>
        <v>0</v>
      </c>
      <c r="S106" s="7">
        <f t="shared" si="86"/>
        <v>0</v>
      </c>
      <c r="T106" s="60">
        <f t="shared" si="86"/>
        <v>0</v>
      </c>
      <c r="U106" s="7">
        <f t="shared" si="86"/>
        <v>0</v>
      </c>
      <c r="V106" s="60">
        <f t="shared" si="86"/>
        <v>0</v>
      </c>
      <c r="W106" s="7">
        <f t="shared" si="86"/>
        <v>0</v>
      </c>
      <c r="X106" s="60">
        <f t="shared" si="86"/>
        <v>0</v>
      </c>
      <c r="Y106" s="7">
        <f t="shared" si="86"/>
        <v>0</v>
      </c>
      <c r="Z106" s="60">
        <f t="shared" si="86"/>
        <v>0</v>
      </c>
      <c r="AA106" s="7">
        <f t="shared" si="86"/>
        <v>0</v>
      </c>
      <c r="AB106" s="60">
        <f t="shared" si="86"/>
        <v>0</v>
      </c>
      <c r="AC106" s="7">
        <f t="shared" si="86"/>
        <v>0</v>
      </c>
      <c r="AD106" s="60">
        <f t="shared" si="86"/>
        <v>0</v>
      </c>
      <c r="AE106" s="7">
        <f t="shared" si="86"/>
        <v>0</v>
      </c>
      <c r="AF106" s="60">
        <f t="shared" si="86"/>
        <v>0</v>
      </c>
      <c r="AG106" s="7">
        <f t="shared" si="86"/>
        <v>0</v>
      </c>
      <c r="AH106" s="60">
        <f t="shared" si="86"/>
        <v>0</v>
      </c>
      <c r="AI106" s="7">
        <f t="shared" si="86"/>
        <v>0</v>
      </c>
      <c r="AJ106" s="60">
        <f t="shared" si="86"/>
        <v>0</v>
      </c>
      <c r="AK106" s="7">
        <f t="shared" si="86"/>
        <v>0</v>
      </c>
      <c r="AL106" s="60">
        <f t="shared" si="86"/>
        <v>0</v>
      </c>
      <c r="AM106" s="7">
        <f t="shared" si="86"/>
        <v>0</v>
      </c>
      <c r="AN106" s="60">
        <f t="shared" si="86"/>
        <v>0</v>
      </c>
      <c r="AO106" s="7">
        <f t="shared" si="86"/>
        <v>0</v>
      </c>
      <c r="AP106" s="60">
        <f t="shared" si="86"/>
        <v>0</v>
      </c>
      <c r="AQ106" s="7">
        <f t="shared" si="86"/>
        <v>0</v>
      </c>
      <c r="AR106" s="60">
        <f t="shared" si="86"/>
        <v>0</v>
      </c>
      <c r="AS106" s="7">
        <f t="shared" si="86"/>
        <v>0</v>
      </c>
      <c r="AT106" s="60">
        <f t="shared" si="86"/>
        <v>0</v>
      </c>
      <c r="AU106" s="7">
        <f t="shared" si="86"/>
        <v>0</v>
      </c>
      <c r="AV106" s="60">
        <f t="shared" si="86"/>
        <v>0</v>
      </c>
      <c r="AW106" s="7">
        <f t="shared" si="86"/>
        <v>0</v>
      </c>
      <c r="AX106" s="60">
        <f t="shared" si="86"/>
        <v>0</v>
      </c>
      <c r="AY106" s="7">
        <f t="shared" si="86"/>
        <v>0</v>
      </c>
      <c r="AZ106" s="60">
        <f t="shared" si="86"/>
        <v>0</v>
      </c>
      <c r="BA106" s="7">
        <f t="shared" si="86"/>
        <v>0</v>
      </c>
      <c r="BB106" s="60">
        <f t="shared" si="86"/>
        <v>0</v>
      </c>
      <c r="BC106" s="7">
        <f t="shared" si="86"/>
        <v>0</v>
      </c>
      <c r="BD106" s="60">
        <f t="shared" si="86"/>
        <v>0</v>
      </c>
      <c r="BE106" s="7">
        <f t="shared" si="86"/>
        <v>0</v>
      </c>
      <c r="BF106" s="60">
        <f t="shared" si="86"/>
        <v>0</v>
      </c>
      <c r="BG106" s="7">
        <f t="shared" si="86"/>
        <v>0</v>
      </c>
      <c r="BH106" s="60">
        <f t="shared" si="86"/>
        <v>0</v>
      </c>
      <c r="BI106" s="7">
        <f t="shared" si="86"/>
        <v>0</v>
      </c>
      <c r="BJ106" s="60">
        <f t="shared" si="86"/>
        <v>0</v>
      </c>
      <c r="BK106" s="7">
        <f t="shared" si="86"/>
        <v>0</v>
      </c>
      <c r="BL106" s="60">
        <f t="shared" si="86"/>
        <v>0</v>
      </c>
      <c r="BM106" s="7">
        <f t="shared" si="86"/>
        <v>0</v>
      </c>
      <c r="BN106" s="60">
        <f t="shared" si="86"/>
        <v>0</v>
      </c>
      <c r="BO106" s="100">
        <f t="shared" si="82"/>
        <v>0</v>
      </c>
      <c r="BP106" s="100">
        <f t="shared" si="83"/>
        <v>0</v>
      </c>
      <c r="BQ106" s="100">
        <f t="shared" si="84"/>
        <v>0</v>
      </c>
    </row>
    <row r="107" spans="1:69">
      <c r="A107" s="47">
        <v>50</v>
      </c>
      <c r="B107" s="30">
        <v>15</v>
      </c>
      <c r="C107" s="7">
        <f t="shared" ref="C107:BN107" si="87">IF(ISERROR((C75-C43)/C43),0,((C75-C43)/C43))</f>
        <v>0</v>
      </c>
      <c r="D107" s="60">
        <f t="shared" si="87"/>
        <v>0</v>
      </c>
      <c r="E107" s="7">
        <f t="shared" si="87"/>
        <v>0</v>
      </c>
      <c r="F107" s="60">
        <f t="shared" si="87"/>
        <v>0</v>
      </c>
      <c r="G107" s="7">
        <f t="shared" si="87"/>
        <v>0</v>
      </c>
      <c r="H107" s="60">
        <f t="shared" si="87"/>
        <v>0</v>
      </c>
      <c r="I107" s="7">
        <f t="shared" si="87"/>
        <v>0</v>
      </c>
      <c r="J107" s="60">
        <f t="shared" si="87"/>
        <v>0</v>
      </c>
      <c r="K107" s="7">
        <f t="shared" si="87"/>
        <v>0</v>
      </c>
      <c r="L107" s="60">
        <f t="shared" si="87"/>
        <v>0</v>
      </c>
      <c r="M107" s="7">
        <f t="shared" si="87"/>
        <v>0</v>
      </c>
      <c r="N107" s="60">
        <f t="shared" si="87"/>
        <v>0</v>
      </c>
      <c r="O107" s="7">
        <f t="shared" si="87"/>
        <v>0</v>
      </c>
      <c r="P107" s="60">
        <f t="shared" si="87"/>
        <v>0</v>
      </c>
      <c r="Q107" s="7">
        <f t="shared" si="87"/>
        <v>0</v>
      </c>
      <c r="R107" s="60">
        <f t="shared" si="87"/>
        <v>0</v>
      </c>
      <c r="S107" s="7">
        <f t="shared" si="87"/>
        <v>0</v>
      </c>
      <c r="T107" s="60">
        <f t="shared" si="87"/>
        <v>0</v>
      </c>
      <c r="U107" s="7">
        <f t="shared" si="87"/>
        <v>0</v>
      </c>
      <c r="V107" s="60">
        <f t="shared" si="87"/>
        <v>0</v>
      </c>
      <c r="W107" s="7">
        <f t="shared" si="87"/>
        <v>0</v>
      </c>
      <c r="X107" s="60">
        <f t="shared" si="87"/>
        <v>0</v>
      </c>
      <c r="Y107" s="7">
        <f t="shared" si="87"/>
        <v>0</v>
      </c>
      <c r="Z107" s="60">
        <f t="shared" si="87"/>
        <v>0</v>
      </c>
      <c r="AA107" s="7">
        <f t="shared" si="87"/>
        <v>0</v>
      </c>
      <c r="AB107" s="60">
        <f t="shared" si="87"/>
        <v>0</v>
      </c>
      <c r="AC107" s="7">
        <f t="shared" si="87"/>
        <v>0</v>
      </c>
      <c r="AD107" s="60">
        <f t="shared" si="87"/>
        <v>0</v>
      </c>
      <c r="AE107" s="7">
        <f t="shared" si="87"/>
        <v>0</v>
      </c>
      <c r="AF107" s="60">
        <f t="shared" si="87"/>
        <v>0</v>
      </c>
      <c r="AG107" s="7">
        <f t="shared" si="87"/>
        <v>0</v>
      </c>
      <c r="AH107" s="60">
        <f t="shared" si="87"/>
        <v>0</v>
      </c>
      <c r="AI107" s="7">
        <f t="shared" si="87"/>
        <v>0</v>
      </c>
      <c r="AJ107" s="60">
        <f t="shared" si="87"/>
        <v>0</v>
      </c>
      <c r="AK107" s="7">
        <f t="shared" si="87"/>
        <v>0</v>
      </c>
      <c r="AL107" s="60">
        <f t="shared" si="87"/>
        <v>0</v>
      </c>
      <c r="AM107" s="7">
        <f t="shared" si="87"/>
        <v>0</v>
      </c>
      <c r="AN107" s="60">
        <f t="shared" si="87"/>
        <v>0</v>
      </c>
      <c r="AO107" s="7">
        <f t="shared" si="87"/>
        <v>0</v>
      </c>
      <c r="AP107" s="60">
        <f t="shared" si="87"/>
        <v>0</v>
      </c>
      <c r="AQ107" s="7">
        <f t="shared" si="87"/>
        <v>0</v>
      </c>
      <c r="AR107" s="60">
        <f t="shared" si="87"/>
        <v>0</v>
      </c>
      <c r="AS107" s="7">
        <f t="shared" si="87"/>
        <v>0</v>
      </c>
      <c r="AT107" s="60">
        <f t="shared" si="87"/>
        <v>0</v>
      </c>
      <c r="AU107" s="7">
        <f t="shared" si="87"/>
        <v>0</v>
      </c>
      <c r="AV107" s="60">
        <f t="shared" si="87"/>
        <v>0</v>
      </c>
      <c r="AW107" s="7">
        <f t="shared" si="87"/>
        <v>0</v>
      </c>
      <c r="AX107" s="60">
        <f t="shared" si="87"/>
        <v>0</v>
      </c>
      <c r="AY107" s="7">
        <f t="shared" si="87"/>
        <v>0</v>
      </c>
      <c r="AZ107" s="60">
        <f t="shared" si="87"/>
        <v>0</v>
      </c>
      <c r="BA107" s="7">
        <f t="shared" si="87"/>
        <v>0</v>
      </c>
      <c r="BB107" s="60">
        <f t="shared" si="87"/>
        <v>0</v>
      </c>
      <c r="BC107" s="7">
        <f t="shared" si="87"/>
        <v>0</v>
      </c>
      <c r="BD107" s="60">
        <f t="shared" si="87"/>
        <v>0</v>
      </c>
      <c r="BE107" s="7">
        <f t="shared" si="87"/>
        <v>0</v>
      </c>
      <c r="BF107" s="60">
        <f t="shared" si="87"/>
        <v>0</v>
      </c>
      <c r="BG107" s="7">
        <f t="shared" si="87"/>
        <v>0</v>
      </c>
      <c r="BH107" s="60">
        <f t="shared" si="87"/>
        <v>0</v>
      </c>
      <c r="BI107" s="7">
        <f t="shared" si="87"/>
        <v>0</v>
      </c>
      <c r="BJ107" s="60">
        <f t="shared" si="87"/>
        <v>0</v>
      </c>
      <c r="BK107" s="7">
        <f t="shared" si="87"/>
        <v>0</v>
      </c>
      <c r="BL107" s="60">
        <f t="shared" si="87"/>
        <v>0</v>
      </c>
      <c r="BM107" s="7">
        <f t="shared" si="87"/>
        <v>0</v>
      </c>
      <c r="BN107" s="60">
        <f t="shared" si="87"/>
        <v>0</v>
      </c>
      <c r="BO107" s="100">
        <f t="shared" si="82"/>
        <v>0</v>
      </c>
      <c r="BP107" s="100">
        <f t="shared" si="83"/>
        <v>0</v>
      </c>
      <c r="BQ107" s="100">
        <f t="shared" si="84"/>
        <v>0</v>
      </c>
    </row>
    <row r="108" spans="1:69">
      <c r="A108" s="47">
        <v>50</v>
      </c>
      <c r="B108" s="30">
        <v>20</v>
      </c>
      <c r="C108" s="7">
        <f t="shared" ref="C108:BN108" si="88">IF(ISERROR((C76-C44)/C44),0,((C76-C44)/C44))</f>
        <v>0</v>
      </c>
      <c r="D108" s="60">
        <f t="shared" si="88"/>
        <v>0</v>
      </c>
      <c r="E108" s="7">
        <f t="shared" si="88"/>
        <v>0</v>
      </c>
      <c r="F108" s="60">
        <f t="shared" si="88"/>
        <v>0</v>
      </c>
      <c r="G108" s="7">
        <f t="shared" si="88"/>
        <v>0</v>
      </c>
      <c r="H108" s="60">
        <f t="shared" si="88"/>
        <v>0</v>
      </c>
      <c r="I108" s="7">
        <f t="shared" si="88"/>
        <v>0</v>
      </c>
      <c r="J108" s="60">
        <f t="shared" si="88"/>
        <v>0</v>
      </c>
      <c r="K108" s="7">
        <f t="shared" si="88"/>
        <v>0</v>
      </c>
      <c r="L108" s="60">
        <f t="shared" si="88"/>
        <v>0</v>
      </c>
      <c r="M108" s="7">
        <f t="shared" si="88"/>
        <v>0</v>
      </c>
      <c r="N108" s="60">
        <f t="shared" si="88"/>
        <v>0</v>
      </c>
      <c r="O108" s="7">
        <f t="shared" si="88"/>
        <v>0</v>
      </c>
      <c r="P108" s="60">
        <f t="shared" si="88"/>
        <v>0</v>
      </c>
      <c r="Q108" s="7">
        <f t="shared" si="88"/>
        <v>0</v>
      </c>
      <c r="R108" s="60">
        <f t="shared" si="88"/>
        <v>0</v>
      </c>
      <c r="S108" s="7">
        <f t="shared" si="88"/>
        <v>0</v>
      </c>
      <c r="T108" s="60">
        <f t="shared" si="88"/>
        <v>0</v>
      </c>
      <c r="U108" s="7">
        <f t="shared" si="88"/>
        <v>0</v>
      </c>
      <c r="V108" s="60">
        <f t="shared" si="88"/>
        <v>0</v>
      </c>
      <c r="W108" s="7">
        <f t="shared" si="88"/>
        <v>0</v>
      </c>
      <c r="X108" s="60">
        <f t="shared" si="88"/>
        <v>0</v>
      </c>
      <c r="Y108" s="7">
        <f t="shared" si="88"/>
        <v>0</v>
      </c>
      <c r="Z108" s="60">
        <f t="shared" si="88"/>
        <v>0</v>
      </c>
      <c r="AA108" s="7">
        <f t="shared" si="88"/>
        <v>0</v>
      </c>
      <c r="AB108" s="60">
        <f t="shared" si="88"/>
        <v>0</v>
      </c>
      <c r="AC108" s="7">
        <f t="shared" si="88"/>
        <v>0</v>
      </c>
      <c r="AD108" s="60">
        <f t="shared" si="88"/>
        <v>0</v>
      </c>
      <c r="AE108" s="7">
        <f t="shared" si="88"/>
        <v>0</v>
      </c>
      <c r="AF108" s="60">
        <f t="shared" si="88"/>
        <v>0</v>
      </c>
      <c r="AG108" s="7">
        <f t="shared" si="88"/>
        <v>0</v>
      </c>
      <c r="AH108" s="60">
        <f t="shared" si="88"/>
        <v>0</v>
      </c>
      <c r="AI108" s="7">
        <f t="shared" si="88"/>
        <v>0</v>
      </c>
      <c r="AJ108" s="60">
        <f t="shared" si="88"/>
        <v>0</v>
      </c>
      <c r="AK108" s="7">
        <f t="shared" si="88"/>
        <v>0</v>
      </c>
      <c r="AL108" s="60">
        <f t="shared" si="88"/>
        <v>0</v>
      </c>
      <c r="AM108" s="7">
        <f t="shared" si="88"/>
        <v>0</v>
      </c>
      <c r="AN108" s="60">
        <f t="shared" si="88"/>
        <v>0</v>
      </c>
      <c r="AO108" s="7">
        <f t="shared" si="88"/>
        <v>0</v>
      </c>
      <c r="AP108" s="60">
        <f t="shared" si="88"/>
        <v>0</v>
      </c>
      <c r="AQ108" s="7">
        <f t="shared" si="88"/>
        <v>0</v>
      </c>
      <c r="AR108" s="60">
        <f t="shared" si="88"/>
        <v>0</v>
      </c>
      <c r="AS108" s="7">
        <f t="shared" si="88"/>
        <v>0</v>
      </c>
      <c r="AT108" s="60">
        <f t="shared" si="88"/>
        <v>0</v>
      </c>
      <c r="AU108" s="7">
        <f t="shared" si="88"/>
        <v>0</v>
      </c>
      <c r="AV108" s="60">
        <f t="shared" si="88"/>
        <v>0</v>
      </c>
      <c r="AW108" s="7">
        <f t="shared" si="88"/>
        <v>0</v>
      </c>
      <c r="AX108" s="60">
        <f t="shared" si="88"/>
        <v>0</v>
      </c>
      <c r="AY108" s="7">
        <f t="shared" si="88"/>
        <v>0</v>
      </c>
      <c r="AZ108" s="60">
        <f t="shared" si="88"/>
        <v>0</v>
      </c>
      <c r="BA108" s="7">
        <f t="shared" si="88"/>
        <v>0</v>
      </c>
      <c r="BB108" s="60">
        <f t="shared" si="88"/>
        <v>0</v>
      </c>
      <c r="BC108" s="7">
        <f t="shared" si="88"/>
        <v>0</v>
      </c>
      <c r="BD108" s="60">
        <f t="shared" si="88"/>
        <v>0</v>
      </c>
      <c r="BE108" s="7">
        <f t="shared" si="88"/>
        <v>0</v>
      </c>
      <c r="BF108" s="60">
        <f t="shared" si="88"/>
        <v>0</v>
      </c>
      <c r="BG108" s="7">
        <f t="shared" si="88"/>
        <v>0</v>
      </c>
      <c r="BH108" s="60">
        <f t="shared" si="88"/>
        <v>0</v>
      </c>
      <c r="BI108" s="7">
        <f t="shared" si="88"/>
        <v>0</v>
      </c>
      <c r="BJ108" s="60">
        <f t="shared" si="88"/>
        <v>0</v>
      </c>
      <c r="BK108" s="7">
        <f t="shared" si="88"/>
        <v>0</v>
      </c>
      <c r="BL108" s="60">
        <f t="shared" si="88"/>
        <v>0</v>
      </c>
      <c r="BM108" s="7">
        <f t="shared" si="88"/>
        <v>0</v>
      </c>
      <c r="BN108" s="60">
        <f t="shared" si="88"/>
        <v>0</v>
      </c>
      <c r="BO108" s="100">
        <f t="shared" si="82"/>
        <v>0</v>
      </c>
      <c r="BP108" s="100">
        <f t="shared" si="83"/>
        <v>0</v>
      </c>
      <c r="BQ108" s="100">
        <f t="shared" si="84"/>
        <v>0</v>
      </c>
    </row>
    <row r="109" spans="1:69">
      <c r="D109" s="5"/>
      <c r="E109" s="5"/>
      <c r="F109" s="5"/>
      <c r="G109" s="5"/>
      <c r="H109" s="5"/>
      <c r="I109" s="5"/>
      <c r="J109" s="5"/>
      <c r="K109" s="5"/>
      <c r="L109" s="5"/>
      <c r="M109" s="5"/>
    </row>
    <row r="110" spans="1:69">
      <c r="D110" s="5"/>
      <c r="E110" s="5"/>
      <c r="F110" s="5"/>
      <c r="G110" s="5"/>
      <c r="H110" s="5"/>
      <c r="I110" s="5"/>
      <c r="J110" s="5"/>
      <c r="K110" s="5"/>
      <c r="L110" s="5"/>
      <c r="M110" s="5"/>
    </row>
    <row r="111" spans="1:69">
      <c r="D111" s="5"/>
      <c r="E111" s="5"/>
      <c r="F111" s="5"/>
      <c r="G111" s="5"/>
      <c r="H111" s="5"/>
      <c r="I111" s="5"/>
      <c r="J111" s="5"/>
      <c r="K111" s="5"/>
      <c r="L111" s="5"/>
      <c r="M111" s="5"/>
    </row>
    <row r="112" spans="1:69">
      <c r="D112" s="5"/>
      <c r="E112" s="5"/>
      <c r="F112" s="5"/>
      <c r="G112" s="5"/>
      <c r="H112" s="5"/>
      <c r="I112" s="5"/>
      <c r="J112" s="5"/>
      <c r="K112" s="5"/>
      <c r="L112" s="5"/>
      <c r="M112" s="5"/>
    </row>
    <row r="113" spans="3:13">
      <c r="D113" s="5"/>
      <c r="E113" s="5"/>
      <c r="F113" s="5"/>
      <c r="G113" s="5"/>
      <c r="H113" s="5"/>
      <c r="I113" s="5"/>
      <c r="J113" s="5"/>
      <c r="K113" s="5"/>
      <c r="L113" s="5"/>
      <c r="M113" s="5"/>
    </row>
    <row r="114" spans="3:13">
      <c r="D114" s="5"/>
      <c r="E114" s="5"/>
      <c r="F114" s="5"/>
      <c r="G114" s="5"/>
      <c r="H114" s="5"/>
      <c r="I114" s="5"/>
      <c r="J114" s="5"/>
      <c r="K114" s="5"/>
      <c r="L114" s="5"/>
      <c r="M114" s="5"/>
    </row>
    <row r="115" spans="3:13">
      <c r="D115" s="5"/>
      <c r="E115" s="5"/>
      <c r="F115" s="5"/>
      <c r="G115" s="5"/>
      <c r="H115" s="5"/>
      <c r="I115" s="5"/>
      <c r="J115" s="5"/>
      <c r="K115" s="5"/>
      <c r="L115" s="5"/>
      <c r="M115" s="5"/>
    </row>
    <row r="116" spans="3:13">
      <c r="D116" s="5"/>
      <c r="E116" s="5"/>
      <c r="F116" s="5"/>
      <c r="G116" s="5"/>
      <c r="H116" s="5"/>
      <c r="I116" s="5"/>
      <c r="J116" s="5"/>
      <c r="K116" s="5"/>
      <c r="L116" s="5"/>
      <c r="M116" s="5"/>
    </row>
    <row r="117" spans="3:13">
      <c r="D117" s="5"/>
      <c r="E117" s="5"/>
      <c r="F117" s="5"/>
      <c r="G117" s="5"/>
      <c r="H117" s="5"/>
      <c r="I117" s="5"/>
      <c r="J117" s="5"/>
      <c r="K117" s="5"/>
      <c r="L117" s="5"/>
      <c r="M117" s="5"/>
    </row>
    <row r="118" spans="3:13">
      <c r="D118" s="5"/>
      <c r="E118" s="5"/>
      <c r="F118" s="5"/>
      <c r="G118" s="5"/>
      <c r="H118" s="5"/>
      <c r="I118" s="5"/>
      <c r="J118" s="5"/>
      <c r="K118" s="5"/>
      <c r="L118" s="5"/>
      <c r="M118" s="5"/>
    </row>
    <row r="119" spans="3:13">
      <c r="D119" s="5"/>
      <c r="E119" s="5"/>
      <c r="F119" s="5"/>
      <c r="G119" s="5"/>
      <c r="H119" s="5"/>
      <c r="I119" s="5"/>
      <c r="J119" s="5"/>
      <c r="K119" s="5"/>
      <c r="L119" s="5"/>
      <c r="M119" s="5"/>
    </row>
    <row r="120" spans="3:13">
      <c r="D120" s="5"/>
      <c r="E120" s="5"/>
      <c r="F120" s="5"/>
      <c r="G120" s="5"/>
      <c r="H120" s="5"/>
      <c r="I120" s="5"/>
      <c r="J120" s="5"/>
      <c r="K120" s="5"/>
      <c r="L120" s="5"/>
      <c r="M120" s="5"/>
    </row>
    <row r="121" spans="3:13">
      <c r="D121" s="5"/>
      <c r="E121" s="5"/>
      <c r="F121" s="5"/>
      <c r="G121" s="5"/>
      <c r="H121" s="5"/>
      <c r="I121" s="5"/>
      <c r="J121" s="5"/>
      <c r="K121" s="5"/>
      <c r="L121" s="5"/>
      <c r="M121" s="5"/>
    </row>
    <row r="122" spans="3:13">
      <c r="D122" s="5"/>
      <c r="E122" s="5"/>
      <c r="F122" s="5"/>
      <c r="G122" s="5"/>
      <c r="H122" s="5"/>
      <c r="I122" s="5"/>
      <c r="J122" s="5"/>
      <c r="K122" s="5"/>
      <c r="L122" s="5"/>
      <c r="M122" s="5"/>
    </row>
    <row r="123" spans="3:13">
      <c r="D123" s="5"/>
      <c r="E123" s="5"/>
      <c r="F123" s="5"/>
      <c r="G123" s="5"/>
      <c r="H123" s="5"/>
      <c r="I123" s="5"/>
      <c r="J123" s="5"/>
      <c r="K123" s="5"/>
      <c r="L123" s="5"/>
      <c r="M123" s="5"/>
    </row>
    <row r="124" spans="3:13">
      <c r="D124" s="5"/>
      <c r="E124" s="5"/>
      <c r="F124" s="5"/>
      <c r="G124" s="5"/>
      <c r="H124" s="5"/>
      <c r="I124" s="5"/>
      <c r="J124" s="5"/>
      <c r="K124" s="5"/>
      <c r="L124" s="5"/>
      <c r="M124" s="5"/>
    </row>
    <row r="125" spans="3:13">
      <c r="D125" s="5"/>
      <c r="E125" s="5"/>
      <c r="F125" s="5"/>
      <c r="G125" s="5"/>
      <c r="H125" s="5"/>
      <c r="I125" s="5"/>
      <c r="J125" s="5"/>
      <c r="K125" s="5"/>
      <c r="L125" s="5"/>
      <c r="M125" s="5"/>
    </row>
    <row r="126" spans="3:13">
      <c r="D126" s="5"/>
      <c r="E126" s="5"/>
      <c r="F126" s="5"/>
      <c r="G126" s="5"/>
      <c r="H126" s="5"/>
      <c r="I126" s="5"/>
      <c r="J126" s="5"/>
      <c r="K126" s="5"/>
      <c r="L126" s="5"/>
      <c r="M126" s="5"/>
    </row>
    <row r="127" spans="3:13">
      <c r="D127" s="5"/>
      <c r="E127" s="5"/>
      <c r="F127" s="5"/>
      <c r="G127" s="5"/>
      <c r="H127" s="5"/>
      <c r="I127" s="5"/>
      <c r="J127" s="5"/>
      <c r="K127" s="5"/>
      <c r="L127" s="5"/>
      <c r="M127" s="5"/>
    </row>
    <row r="128" spans="3:13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</row>
    <row r="129" spans="3:13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</row>
    <row r="130" spans="3:13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</row>
    <row r="131" spans="3:13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</row>
    <row r="132" spans="3:13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</row>
    <row r="133" spans="3:13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</row>
    <row r="134" spans="3:13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</row>
    <row r="135" spans="3:13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</row>
    <row r="136" spans="3:13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</row>
  </sheetData>
  <mergeCells count="21">
    <mergeCell ref="G7:H7"/>
    <mergeCell ref="C3:D3"/>
    <mergeCell ref="G3:H3"/>
    <mergeCell ref="G4:H4"/>
    <mergeCell ref="G5:H5"/>
    <mergeCell ref="G6:H6"/>
    <mergeCell ref="G8:H8"/>
    <mergeCell ref="G9:H9"/>
    <mergeCell ref="C10:D10"/>
    <mergeCell ref="C11:D11"/>
    <mergeCell ref="C9:D9"/>
    <mergeCell ref="G11:H11"/>
    <mergeCell ref="I11:K11"/>
    <mergeCell ref="G12:H12"/>
    <mergeCell ref="I12:K12"/>
    <mergeCell ref="M13:N13"/>
    <mergeCell ref="C13:D13"/>
    <mergeCell ref="E13:F13"/>
    <mergeCell ref="G13:H13"/>
    <mergeCell ref="I13:J13"/>
    <mergeCell ref="K13:L13"/>
  </mergeCells>
  <phoneticPr fontId="2" type="noConversion"/>
  <conditionalFormatting sqref="C36:BN36">
    <cfRule type="cellIs" dxfId="1" priority="22" stopIfTrue="1" operator="notBetween">
      <formula>$C$5*(1-$C$6/100)</formula>
      <formula>$C$5*(1+$C$6/100)</formula>
    </cfRule>
  </conditionalFormatting>
  <conditionalFormatting sqref="C68:BN68">
    <cfRule type="cellIs" dxfId="0" priority="6" stopIfTrue="1" operator="notBetween">
      <formula>$C$5*(1-$C$6/100)</formula>
      <formula>$C$5*(1+$C$6/100)</formula>
    </cfRule>
  </conditionalFormatting>
  <dataValidations count="2">
    <dataValidation type="list" allowBlank="1" showInputMessage="1" showErrorMessage="1" sqref="I5:I6" xr:uid="{00000000-0002-0000-0000-000000000000}">
      <formula1>"ON,OFF"</formula1>
    </dataValidation>
    <dataValidation type="list" allowBlank="1" showInputMessage="1" showErrorMessage="1" sqref="I4" xr:uid="{00000000-0002-0000-0000-000001000000}">
      <formula1>"FRONT,REAR"</formula1>
    </dataValidation>
  </dataValidations>
  <pageMargins left="0.78740157499999996" right="0.78740157499999996" top="0.984251969" bottom="0.984251969" header="0.4921259845" footer="0.4921259845"/>
  <pageSetup paperSize="9" scale="59" orientation="landscape" r:id="rId1"/>
  <headerFooter alignWithMargins="0"/>
  <ignoredErrors>
    <ignoredError sqref="BO48:BQ52 BO16:BQ39" formulaRange="1"/>
    <ignoredError sqref="BO80:BQ103" evalError="1"/>
  </ignoredErrors>
  <drawing r:id="rId2"/>
  <legacyDrawing r:id="rId3"/>
  <controls>
    <mc:AlternateContent xmlns:mc="http://schemas.openxmlformats.org/markup-compatibility/2006">
      <mc:Choice Requires="x14">
        <control shapeId="4120" r:id="rId4" name="cmdMeasure">
          <controlPr defaultSize="0" autoLine="0" r:id="rId5">
            <anchor moveWithCells="1">
              <from>
                <xdr:col>0</xdr:col>
                <xdr:colOff>19050</xdr:colOff>
                <xdr:row>10</xdr:row>
                <xdr:rowOff>161925</xdr:rowOff>
              </from>
              <to>
                <xdr:col>1</xdr:col>
                <xdr:colOff>581025</xdr:colOff>
                <xdr:row>12</xdr:row>
                <xdr:rowOff>171450</xdr:rowOff>
              </to>
            </anchor>
          </controlPr>
        </control>
      </mc:Choice>
      <mc:Fallback>
        <control shapeId="4120" r:id="rId4" name="cmdMeasure"/>
      </mc:Fallback>
    </mc:AlternateContent>
    <mc:AlternateContent xmlns:mc="http://schemas.openxmlformats.org/markup-compatibility/2006">
      <mc:Choice Requires="x14">
        <control shapeId="4121" r:id="rId6" name="Button 25">
          <controlPr defaultSize="0" print="0" autoFill="0" autoPict="0" macro="[0]!getData">
            <anchor moveWithCells="1" sizeWithCells="1">
              <from>
                <xdr:col>11</xdr:col>
                <xdr:colOff>342900</xdr:colOff>
                <xdr:row>5</xdr:row>
                <xdr:rowOff>95250</xdr:rowOff>
              </from>
              <to>
                <xdr:col>14</xdr:col>
                <xdr:colOff>552450</xdr:colOff>
                <xdr:row>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2" r:id="rId7" name="Button 26">
          <controlPr defaultSize="0" print="0" autoFill="0" autoPict="0" macro="[0]!getData2" altText="Get Data after txt">
            <anchor moveWithCells="1" sizeWithCells="1">
              <from>
                <xdr:col>11</xdr:col>
                <xdr:colOff>342900</xdr:colOff>
                <xdr:row>8</xdr:row>
                <xdr:rowOff>95250</xdr:rowOff>
              </from>
              <to>
                <xdr:col>14</xdr:col>
                <xdr:colOff>552450</xdr:colOff>
                <xdr:row>11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AI40"/>
  <sheetViews>
    <sheetView topLeftCell="A10" zoomScale="70" zoomScaleNormal="70" workbookViewId="0">
      <selection activeCell="E16" sqref="E16"/>
    </sheetView>
  </sheetViews>
  <sheetFormatPr defaultColWidth="9.140625" defaultRowHeight="20.25"/>
  <cols>
    <col min="1" max="2" width="9.140625" style="76"/>
    <col min="3" max="3" width="15.140625" customWidth="1"/>
    <col min="4" max="4" width="13.5703125" bestFit="1" customWidth="1"/>
    <col min="5" max="5" width="14.42578125" bestFit="1" customWidth="1"/>
    <col min="6" max="6" width="14.28515625" bestFit="1" customWidth="1"/>
  </cols>
  <sheetData>
    <row r="1" spans="1:35" ht="76.5">
      <c r="A1" s="71" t="s">
        <v>35</v>
      </c>
      <c r="B1" s="72">
        <f>Measurement!C8</f>
        <v>0</v>
      </c>
      <c r="C1" s="72"/>
      <c r="D1" s="73" t="s">
        <v>37</v>
      </c>
      <c r="E1" s="73" t="s">
        <v>39</v>
      </c>
      <c r="F1" s="73" t="s">
        <v>41</v>
      </c>
      <c r="G1" s="73" t="s">
        <v>43</v>
      </c>
      <c r="H1" s="73" t="s">
        <v>45</v>
      </c>
      <c r="I1" s="73" t="s">
        <v>47</v>
      </c>
      <c r="J1" s="73" t="s">
        <v>49</v>
      </c>
      <c r="K1" s="73" t="s">
        <v>51</v>
      </c>
      <c r="L1" s="73" t="s">
        <v>53</v>
      </c>
      <c r="M1" s="73" t="s">
        <v>55</v>
      </c>
      <c r="N1" s="73" t="s">
        <v>57</v>
      </c>
      <c r="O1" s="73" t="s">
        <v>59</v>
      </c>
      <c r="P1" s="73" t="s">
        <v>61</v>
      </c>
      <c r="Q1" s="73" t="s">
        <v>63</v>
      </c>
      <c r="R1" s="73" t="s">
        <v>65</v>
      </c>
      <c r="S1" s="73" t="s">
        <v>67</v>
      </c>
      <c r="T1" s="73" t="s">
        <v>69</v>
      </c>
      <c r="U1" s="73" t="s">
        <v>71</v>
      </c>
      <c r="V1" s="73" t="s">
        <v>73</v>
      </c>
      <c r="W1" s="73" t="s">
        <v>75</v>
      </c>
      <c r="X1" s="73" t="s">
        <v>77</v>
      </c>
      <c r="Y1" s="73" t="s">
        <v>79</v>
      </c>
      <c r="Z1" s="73" t="s">
        <v>81</v>
      </c>
      <c r="AA1" s="73" t="s">
        <v>83</v>
      </c>
      <c r="AB1" s="73" t="s">
        <v>85</v>
      </c>
      <c r="AC1" s="73" t="s">
        <v>87</v>
      </c>
      <c r="AD1" s="73" t="s">
        <v>89</v>
      </c>
      <c r="AE1" s="73" t="s">
        <v>91</v>
      </c>
      <c r="AF1" s="73" t="s">
        <v>93</v>
      </c>
      <c r="AG1" s="73" t="s">
        <v>95</v>
      </c>
      <c r="AH1" s="73" t="s">
        <v>97</v>
      </c>
      <c r="AI1" s="73" t="s">
        <v>99</v>
      </c>
    </row>
    <row r="2" spans="1:35">
      <c r="A2" s="58">
        <f>[1]Measurement!B15</f>
        <v>0</v>
      </c>
      <c r="B2" s="74" t="s">
        <v>105</v>
      </c>
      <c r="C2" s="74"/>
      <c r="D2" s="83">
        <f xml:space="preserve"> Measurement!D15</f>
        <v>0</v>
      </c>
      <c r="E2" s="83">
        <f xml:space="preserve"> Measurement!F15</f>
        <v>0</v>
      </c>
      <c r="F2" s="83">
        <f xml:space="preserve"> Measurement!H15</f>
        <v>0</v>
      </c>
      <c r="G2" s="83">
        <f xml:space="preserve"> Measurement!J15</f>
        <v>0</v>
      </c>
      <c r="H2" s="83">
        <f xml:space="preserve"> Measurement!L15</f>
        <v>0</v>
      </c>
      <c r="I2" s="83">
        <f xml:space="preserve"> Measurement!N15</f>
        <v>0</v>
      </c>
      <c r="J2" s="83">
        <f xml:space="preserve"> Measurement!P15</f>
        <v>0</v>
      </c>
      <c r="K2" s="83">
        <f xml:space="preserve"> Measurement!R15</f>
        <v>0</v>
      </c>
      <c r="L2" s="83">
        <f xml:space="preserve"> Measurement!T15</f>
        <v>0</v>
      </c>
      <c r="M2" s="83">
        <f xml:space="preserve"> Measurement!V15</f>
        <v>0</v>
      </c>
      <c r="N2" s="83">
        <f xml:space="preserve"> Measurement!X15</f>
        <v>0</v>
      </c>
      <c r="O2" s="83">
        <f xml:space="preserve"> Measurement!Z15</f>
        <v>0</v>
      </c>
      <c r="P2" s="83">
        <f xml:space="preserve"> Measurement!AB15</f>
        <v>0</v>
      </c>
      <c r="Q2" s="83">
        <f xml:space="preserve"> Measurement!AD15</f>
        <v>0</v>
      </c>
      <c r="R2" s="83">
        <f xml:space="preserve"> Measurement!AF15</f>
        <v>0</v>
      </c>
      <c r="S2" s="83">
        <f xml:space="preserve"> Measurement!AH15</f>
        <v>0</v>
      </c>
      <c r="T2" s="83">
        <f xml:space="preserve"> Measurement!AJ15</f>
        <v>0</v>
      </c>
      <c r="U2" s="83">
        <f xml:space="preserve"> Measurement!AL15</f>
        <v>0</v>
      </c>
      <c r="V2" s="83">
        <f xml:space="preserve"> Measurement!AN15</f>
        <v>0</v>
      </c>
      <c r="W2" s="83">
        <f xml:space="preserve"> Measurement!AP15</f>
        <v>0</v>
      </c>
      <c r="X2" s="83">
        <f xml:space="preserve"> Measurement!AR15</f>
        <v>0</v>
      </c>
      <c r="Y2" s="83">
        <f xml:space="preserve"> Measurement!AT15</f>
        <v>0</v>
      </c>
      <c r="Z2" s="83">
        <f xml:space="preserve"> Measurement!AV15</f>
        <v>0</v>
      </c>
      <c r="AA2" s="83">
        <f xml:space="preserve"> Measurement!AX15</f>
        <v>0</v>
      </c>
      <c r="AB2" s="83">
        <f xml:space="preserve"> Measurement!AZ15</f>
        <v>0</v>
      </c>
      <c r="AC2" s="83">
        <f xml:space="preserve"> Measurement!BB15</f>
        <v>0</v>
      </c>
      <c r="AD2" s="83">
        <f xml:space="preserve"> Measurement!BD15</f>
        <v>0</v>
      </c>
      <c r="AE2" s="83">
        <f xml:space="preserve"> Measurement!BF15</f>
        <v>0</v>
      </c>
      <c r="AF2" s="83">
        <f xml:space="preserve"> Measurement!BH15</f>
        <v>0</v>
      </c>
      <c r="AG2" s="83">
        <f xml:space="preserve"> Measurement!BJ15</f>
        <v>0</v>
      </c>
      <c r="AH2" s="83">
        <f xml:space="preserve"> Measurement!BL15</f>
        <v>0</v>
      </c>
      <c r="AI2" s="83">
        <f xml:space="preserve"> Measurement!BN15</f>
        <v>0</v>
      </c>
    </row>
    <row r="3" spans="1:35">
      <c r="A3" s="58">
        <f>[1]Measurement!B36</f>
        <v>1</v>
      </c>
      <c r="B3" s="74" t="s">
        <v>106</v>
      </c>
      <c r="C3" s="58" t="b">
        <f>IF(B1&gt;7,TRUE,FALSE)</f>
        <v>0</v>
      </c>
      <c r="D3" s="83">
        <f xml:space="preserve"> Measurement!D36</f>
        <v>0</v>
      </c>
      <c r="E3" s="83">
        <f xml:space="preserve"> Measurement!F36</f>
        <v>0</v>
      </c>
      <c r="F3" s="83">
        <f xml:space="preserve"> Measurement!H36</f>
        <v>0</v>
      </c>
      <c r="G3" s="83">
        <f xml:space="preserve"> Measurement!J36</f>
        <v>0</v>
      </c>
      <c r="H3" s="83">
        <f xml:space="preserve"> Measurement!L36</f>
        <v>0</v>
      </c>
      <c r="I3" s="83">
        <f xml:space="preserve"> Measurement!N36</f>
        <v>0</v>
      </c>
      <c r="J3" s="83">
        <f xml:space="preserve"> Measurement!P36</f>
        <v>0</v>
      </c>
      <c r="K3" s="83">
        <f xml:space="preserve"> Measurement!R36</f>
        <v>0</v>
      </c>
      <c r="L3" s="83">
        <f xml:space="preserve"> Measurement!T36</f>
        <v>0</v>
      </c>
      <c r="M3" s="83">
        <f xml:space="preserve"> Measurement!V36</f>
        <v>0</v>
      </c>
      <c r="N3" s="83">
        <f xml:space="preserve"> Measurement!X36</f>
        <v>0</v>
      </c>
      <c r="O3" s="83">
        <f xml:space="preserve"> Measurement!Z36</f>
        <v>0</v>
      </c>
      <c r="P3" s="83">
        <f xml:space="preserve"> Measurement!AB36</f>
        <v>0</v>
      </c>
      <c r="Q3" s="83">
        <f xml:space="preserve"> Measurement!AD36</f>
        <v>0</v>
      </c>
      <c r="R3" s="83">
        <f xml:space="preserve"> Measurement!AF36</f>
        <v>0</v>
      </c>
      <c r="S3" s="83">
        <f xml:space="preserve"> Measurement!AH36</f>
        <v>0</v>
      </c>
      <c r="T3" s="83">
        <f xml:space="preserve"> Measurement!AJ36</f>
        <v>0</v>
      </c>
      <c r="U3" s="83">
        <f xml:space="preserve"> Measurement!AL36</f>
        <v>0</v>
      </c>
      <c r="V3" s="83">
        <f xml:space="preserve"> Measurement!AN36</f>
        <v>0</v>
      </c>
      <c r="W3" s="83">
        <f xml:space="preserve"> Measurement!AP36</f>
        <v>0</v>
      </c>
      <c r="X3" s="83">
        <f xml:space="preserve"> Measurement!AR36</f>
        <v>0</v>
      </c>
      <c r="Y3" s="83">
        <f xml:space="preserve"> Measurement!AT36</f>
        <v>0</v>
      </c>
      <c r="Z3" s="83">
        <f xml:space="preserve"> Measurement!AV36</f>
        <v>0</v>
      </c>
      <c r="AA3" s="83">
        <f xml:space="preserve"> Measurement!AX36</f>
        <v>0</v>
      </c>
      <c r="AB3" s="83">
        <f xml:space="preserve"> Measurement!AZ36</f>
        <v>0</v>
      </c>
      <c r="AC3" s="83">
        <f xml:space="preserve"> Measurement!BB36</f>
        <v>0</v>
      </c>
      <c r="AD3" s="83">
        <f xml:space="preserve"> Measurement!BD36</f>
        <v>0</v>
      </c>
      <c r="AE3" s="83">
        <f xml:space="preserve"> Measurement!BF36</f>
        <v>0</v>
      </c>
      <c r="AF3" s="83">
        <f xml:space="preserve"> Measurement!BH36</f>
        <v>0</v>
      </c>
      <c r="AG3" s="83">
        <f xml:space="preserve"> Measurement!BJ36</f>
        <v>0</v>
      </c>
      <c r="AH3" s="83">
        <f xml:space="preserve"> Measurement!BL36</f>
        <v>0</v>
      </c>
      <c r="AI3" s="83">
        <f xml:space="preserve"> Measurement!BN36</f>
        <v>0</v>
      </c>
    </row>
    <row r="4" spans="1:35">
      <c r="A4" s="58">
        <f>[1]Measurement!B41</f>
        <v>10</v>
      </c>
      <c r="B4" s="74" t="s">
        <v>106</v>
      </c>
      <c r="C4" s="58" t="b">
        <f>IF(B1&lt;=7,TRUE,FALSE)</f>
        <v>1</v>
      </c>
      <c r="D4" s="83" t="e">
        <f xml:space="preserve"> Measurement!#REF!</f>
        <v>#REF!</v>
      </c>
      <c r="E4" s="83" t="e">
        <f xml:space="preserve"> Measurement!#REF!</f>
        <v>#REF!</v>
      </c>
      <c r="F4" s="83" t="e">
        <f xml:space="preserve"> Measurement!#REF!</f>
        <v>#REF!</v>
      </c>
      <c r="G4" s="83" t="e">
        <f xml:space="preserve"> Measurement!#REF!</f>
        <v>#REF!</v>
      </c>
      <c r="H4" s="83" t="e">
        <f xml:space="preserve"> Measurement!#REF!</f>
        <v>#REF!</v>
      </c>
      <c r="I4" s="83" t="e">
        <f xml:space="preserve"> Measurement!#REF!</f>
        <v>#REF!</v>
      </c>
      <c r="J4" s="83" t="e">
        <f xml:space="preserve"> Measurement!#REF!</f>
        <v>#REF!</v>
      </c>
      <c r="K4" s="83" t="e">
        <f xml:space="preserve"> Measurement!#REF!</f>
        <v>#REF!</v>
      </c>
      <c r="L4" s="83" t="e">
        <f xml:space="preserve"> Measurement!#REF!</f>
        <v>#REF!</v>
      </c>
      <c r="M4" s="83" t="e">
        <f xml:space="preserve"> Measurement!#REF!</f>
        <v>#REF!</v>
      </c>
      <c r="N4" s="83" t="e">
        <f xml:space="preserve"> Measurement!#REF!</f>
        <v>#REF!</v>
      </c>
      <c r="O4" s="83" t="e">
        <f xml:space="preserve"> Measurement!#REF!</f>
        <v>#REF!</v>
      </c>
      <c r="P4" s="83" t="e">
        <f xml:space="preserve"> Measurement!#REF!</f>
        <v>#REF!</v>
      </c>
      <c r="Q4" s="83" t="e">
        <f xml:space="preserve"> Measurement!#REF!</f>
        <v>#REF!</v>
      </c>
      <c r="R4" s="83" t="e">
        <f xml:space="preserve"> Measurement!#REF!</f>
        <v>#REF!</v>
      </c>
      <c r="S4" s="83" t="e">
        <f xml:space="preserve"> Measurement!#REF!</f>
        <v>#REF!</v>
      </c>
      <c r="T4" s="83" t="e">
        <f xml:space="preserve"> Measurement!#REF!</f>
        <v>#REF!</v>
      </c>
      <c r="U4" s="83" t="e">
        <f xml:space="preserve"> Measurement!#REF!</f>
        <v>#REF!</v>
      </c>
      <c r="V4" s="83" t="e">
        <f xml:space="preserve"> Measurement!#REF!</f>
        <v>#REF!</v>
      </c>
      <c r="W4" s="83" t="e">
        <f xml:space="preserve"> Measurement!#REF!</f>
        <v>#REF!</v>
      </c>
      <c r="X4" s="83" t="e">
        <f xml:space="preserve"> Measurement!#REF!</f>
        <v>#REF!</v>
      </c>
      <c r="Y4" s="83" t="e">
        <f xml:space="preserve"> Measurement!#REF!</f>
        <v>#REF!</v>
      </c>
      <c r="Z4" s="83" t="e">
        <f xml:space="preserve"> Measurement!#REF!</f>
        <v>#REF!</v>
      </c>
      <c r="AA4" s="83" t="e">
        <f xml:space="preserve"> Measurement!#REF!</f>
        <v>#REF!</v>
      </c>
      <c r="AB4" s="83" t="e">
        <f xml:space="preserve"> Measurement!#REF!</f>
        <v>#REF!</v>
      </c>
      <c r="AC4" s="83" t="e">
        <f xml:space="preserve"> Measurement!#REF!</f>
        <v>#REF!</v>
      </c>
      <c r="AD4" s="83" t="e">
        <f xml:space="preserve"> Measurement!#REF!</f>
        <v>#REF!</v>
      </c>
      <c r="AE4" s="83" t="e">
        <f xml:space="preserve"> Measurement!#REF!</f>
        <v>#REF!</v>
      </c>
      <c r="AF4" s="83" t="e">
        <f xml:space="preserve"> Measurement!#REF!</f>
        <v>#REF!</v>
      </c>
      <c r="AG4" s="83" t="e">
        <f xml:space="preserve"> Measurement!#REF!</f>
        <v>#REF!</v>
      </c>
      <c r="AH4" s="83" t="e">
        <f xml:space="preserve"> Measurement!#REF!</f>
        <v>#REF!</v>
      </c>
      <c r="AI4" s="83" t="e">
        <f xml:space="preserve"> Measurement!#REF!</f>
        <v>#REF!</v>
      </c>
    </row>
    <row r="6" spans="1:35" ht="12.75">
      <c r="A6"/>
      <c r="B6"/>
    </row>
    <row r="7" spans="1:35">
      <c r="A7"/>
      <c r="B7"/>
      <c r="C7" s="58"/>
      <c r="D7" s="75" t="s">
        <v>107</v>
      </c>
      <c r="E7" s="75" t="s">
        <v>108</v>
      </c>
      <c r="G7" s="76" t="s">
        <v>109</v>
      </c>
      <c r="I7" s="77" t="s">
        <v>110</v>
      </c>
    </row>
    <row r="8" spans="1:35" ht="15">
      <c r="A8"/>
      <c r="B8"/>
      <c r="C8" s="78"/>
      <c r="D8" s="79" t="s">
        <v>111</v>
      </c>
      <c r="E8" s="79" t="s">
        <v>112</v>
      </c>
      <c r="Q8" t="s">
        <v>113</v>
      </c>
    </row>
    <row r="9" spans="1:35" ht="15">
      <c r="A9"/>
      <c r="B9"/>
      <c r="C9" s="73" t="s">
        <v>37</v>
      </c>
      <c r="D9" s="79" t="e">
        <f>VLOOKUP(TRUE,$C$3:$AI$4,2,0)</f>
        <v>#REF!</v>
      </c>
      <c r="E9" s="58" cm="1">
        <f t="array" ref="E9:E40">TRANSPOSE(D2:AI2)</f>
        <v>0</v>
      </c>
      <c r="Q9" t="s">
        <v>114</v>
      </c>
      <c r="R9" t="s">
        <v>115</v>
      </c>
    </row>
    <row r="10" spans="1:35" ht="15">
      <c r="A10"/>
      <c r="B10"/>
      <c r="C10" s="73" t="s">
        <v>39</v>
      </c>
      <c r="D10" s="79" t="e">
        <f>VLOOKUP(TRUE,$C$3:$AI$4,3,0)</f>
        <v>#REF!</v>
      </c>
      <c r="E10" s="58">
        <v>0</v>
      </c>
      <c r="Q10" t="s">
        <v>116</v>
      </c>
      <c r="R10" s="80" t="s">
        <v>117</v>
      </c>
    </row>
    <row r="11" spans="1:35">
      <c r="C11" s="73" t="s">
        <v>41</v>
      </c>
      <c r="D11" s="79" t="e">
        <f>VLOOKUP(TRUE,$C$3:$AI$4,4,0)</f>
        <v>#REF!</v>
      </c>
      <c r="E11" s="58">
        <v>0</v>
      </c>
      <c r="Q11" t="s">
        <v>118</v>
      </c>
      <c r="R11" t="s">
        <v>119</v>
      </c>
    </row>
    <row r="12" spans="1:35">
      <c r="C12" s="73" t="s">
        <v>43</v>
      </c>
      <c r="D12" s="79" t="e">
        <f>VLOOKUP(TRUE,$C$3:$AI$4,5,0)</f>
        <v>#REF!</v>
      </c>
      <c r="E12" s="58">
        <v>0</v>
      </c>
      <c r="Q12" t="s">
        <v>120</v>
      </c>
      <c r="R12" t="s">
        <v>121</v>
      </c>
    </row>
    <row r="13" spans="1:35">
      <c r="C13" s="73" t="s">
        <v>45</v>
      </c>
      <c r="D13" s="79" t="e">
        <f>VLOOKUP(TRUE,$C$3:$AI$4,6,0)</f>
        <v>#REF!</v>
      </c>
      <c r="E13" s="58">
        <v>0</v>
      </c>
      <c r="Q13" t="s">
        <v>122</v>
      </c>
      <c r="R13" t="s">
        <v>123</v>
      </c>
    </row>
    <row r="14" spans="1:35">
      <c r="C14" s="73" t="s">
        <v>47</v>
      </c>
      <c r="D14" s="79" t="e">
        <f>VLOOKUP(TRUE,$C$3:$AI$4,7,0)</f>
        <v>#REF!</v>
      </c>
      <c r="E14" s="58">
        <v>0</v>
      </c>
      <c r="Q14" t="s">
        <v>124</v>
      </c>
      <c r="R14" t="s">
        <v>125</v>
      </c>
    </row>
    <row r="15" spans="1:35">
      <c r="C15" s="73" t="s">
        <v>49</v>
      </c>
      <c r="D15" s="79" t="e">
        <f>VLOOKUP(TRUE,$C$3:$AI$4,8,0)</f>
        <v>#REF!</v>
      </c>
      <c r="E15" s="58">
        <v>0</v>
      </c>
      <c r="Q15" t="s">
        <v>126</v>
      </c>
      <c r="R15" t="s">
        <v>127</v>
      </c>
    </row>
    <row r="16" spans="1:35">
      <c r="C16" s="73" t="s">
        <v>51</v>
      </c>
      <c r="D16" s="79" t="e">
        <f>VLOOKUP(TRUE,$C$3:$AI$4,9,0)</f>
        <v>#REF!</v>
      </c>
      <c r="E16" s="58">
        <v>0</v>
      </c>
    </row>
    <row r="17" spans="3:5">
      <c r="C17" s="73" t="s">
        <v>53</v>
      </c>
      <c r="D17" s="79" t="e">
        <f>VLOOKUP(TRUE,$C$3:$AI$4,10,0)</f>
        <v>#REF!</v>
      </c>
      <c r="E17" s="58">
        <v>0</v>
      </c>
    </row>
    <row r="18" spans="3:5">
      <c r="C18" s="73" t="s">
        <v>55</v>
      </c>
      <c r="D18" s="79" t="e">
        <f>VLOOKUP(TRUE,$C$3:$AI$4,11,0)</f>
        <v>#REF!</v>
      </c>
      <c r="E18" s="58">
        <v>0</v>
      </c>
    </row>
    <row r="19" spans="3:5">
      <c r="C19" s="73" t="s">
        <v>57</v>
      </c>
      <c r="D19" s="79" t="e">
        <f>VLOOKUP(TRUE,$C$3:$AI$4,12,0)</f>
        <v>#REF!</v>
      </c>
      <c r="E19" s="58">
        <v>0</v>
      </c>
    </row>
    <row r="20" spans="3:5">
      <c r="C20" s="73" t="s">
        <v>59</v>
      </c>
      <c r="D20" s="79" t="e">
        <f>VLOOKUP(TRUE,$C$3:$AI$4,13,0)</f>
        <v>#REF!</v>
      </c>
      <c r="E20" s="58">
        <v>0</v>
      </c>
    </row>
    <row r="21" spans="3:5">
      <c r="C21" s="73" t="s">
        <v>61</v>
      </c>
      <c r="D21" s="79" t="e">
        <f>VLOOKUP(TRUE,$C$3:$AI$4,14,0)</f>
        <v>#REF!</v>
      </c>
      <c r="E21" s="58">
        <v>0</v>
      </c>
    </row>
    <row r="22" spans="3:5">
      <c r="C22" s="73" t="s">
        <v>63</v>
      </c>
      <c r="D22" s="79" t="e">
        <f>VLOOKUP(TRUE,$C$3:$AI$4,15,0)</f>
        <v>#REF!</v>
      </c>
      <c r="E22" s="58">
        <v>0</v>
      </c>
    </row>
    <row r="23" spans="3:5">
      <c r="C23" s="73" t="s">
        <v>65</v>
      </c>
      <c r="D23" s="79" t="e">
        <f>VLOOKUP(TRUE,$C$3:$AI$4,16,0)</f>
        <v>#REF!</v>
      </c>
      <c r="E23" s="58">
        <v>0</v>
      </c>
    </row>
    <row r="24" spans="3:5">
      <c r="C24" s="73" t="s">
        <v>67</v>
      </c>
      <c r="D24" s="79" t="e">
        <f>VLOOKUP(TRUE,$C$3:$AI$4,17,0)</f>
        <v>#REF!</v>
      </c>
      <c r="E24" s="58">
        <v>0</v>
      </c>
    </row>
    <row r="25" spans="3:5">
      <c r="C25" s="73" t="s">
        <v>69</v>
      </c>
      <c r="D25" s="79" t="e">
        <f>VLOOKUP(TRUE,$C$3:$AI$4,18,0)</f>
        <v>#REF!</v>
      </c>
      <c r="E25" s="58">
        <v>0</v>
      </c>
    </row>
    <row r="26" spans="3:5">
      <c r="C26" s="73" t="s">
        <v>71</v>
      </c>
      <c r="D26" s="79" t="e">
        <f>VLOOKUP(TRUE,$C$3:$AI$4,19,0)</f>
        <v>#REF!</v>
      </c>
      <c r="E26" s="58">
        <v>0</v>
      </c>
    </row>
    <row r="27" spans="3:5">
      <c r="C27" s="73" t="s">
        <v>73</v>
      </c>
      <c r="D27" s="79" t="e">
        <f>VLOOKUP(TRUE,$C$3:$AI$4,20,0)</f>
        <v>#REF!</v>
      </c>
      <c r="E27" s="58">
        <v>0</v>
      </c>
    </row>
    <row r="28" spans="3:5">
      <c r="C28" s="73" t="s">
        <v>75</v>
      </c>
      <c r="D28" s="79" t="e">
        <f>VLOOKUP(TRUE,$C$3:$AI$4,21,0)</f>
        <v>#REF!</v>
      </c>
      <c r="E28" s="58">
        <v>0</v>
      </c>
    </row>
    <row r="29" spans="3:5">
      <c r="C29" s="73" t="s">
        <v>77</v>
      </c>
      <c r="D29" s="79" t="e">
        <f>VLOOKUP(TRUE,$C$3:$AI$4,22,0)</f>
        <v>#REF!</v>
      </c>
      <c r="E29" s="58">
        <v>0</v>
      </c>
    </row>
    <row r="30" spans="3:5">
      <c r="C30" s="73" t="s">
        <v>79</v>
      </c>
      <c r="D30" s="79" t="e">
        <f>VLOOKUP(TRUE,$C$3:$AI$4,23,0)</f>
        <v>#REF!</v>
      </c>
      <c r="E30" s="58">
        <v>0</v>
      </c>
    </row>
    <row r="31" spans="3:5">
      <c r="C31" s="73" t="s">
        <v>81</v>
      </c>
      <c r="D31" s="79" t="e">
        <f>VLOOKUP(TRUE,$C$3:$AI$4,24,0)</f>
        <v>#REF!</v>
      </c>
      <c r="E31" s="58">
        <v>0</v>
      </c>
    </row>
    <row r="32" spans="3:5">
      <c r="C32" s="73" t="s">
        <v>83</v>
      </c>
      <c r="D32" s="79" t="e">
        <f>VLOOKUP(TRUE,$C$3:$AI$4,25,0)</f>
        <v>#REF!</v>
      </c>
      <c r="E32" s="58">
        <v>0</v>
      </c>
    </row>
    <row r="33" spans="3:5">
      <c r="C33" s="73" t="s">
        <v>85</v>
      </c>
      <c r="D33" s="79" t="e">
        <f>VLOOKUP(TRUE,$C$3:$AI$4,26,0)</f>
        <v>#REF!</v>
      </c>
      <c r="E33" s="58">
        <v>0</v>
      </c>
    </row>
    <row r="34" spans="3:5">
      <c r="C34" s="73" t="s">
        <v>87</v>
      </c>
      <c r="D34" s="79" t="e">
        <f>VLOOKUP(TRUE,$C$3:$AI$4,27,0)</f>
        <v>#REF!</v>
      </c>
      <c r="E34" s="58">
        <v>0</v>
      </c>
    </row>
    <row r="35" spans="3:5">
      <c r="C35" s="73" t="s">
        <v>89</v>
      </c>
      <c r="D35" s="79" t="e">
        <f>VLOOKUP(TRUE,$C$3:$AI$4,28,0)</f>
        <v>#REF!</v>
      </c>
      <c r="E35" s="58">
        <v>0</v>
      </c>
    </row>
    <row r="36" spans="3:5">
      <c r="C36" s="73" t="s">
        <v>91</v>
      </c>
      <c r="D36" s="79" t="e">
        <f>VLOOKUP(TRUE,$C$3:$AI$4,29,0)</f>
        <v>#REF!</v>
      </c>
      <c r="E36" s="58">
        <v>0</v>
      </c>
    </row>
    <row r="37" spans="3:5">
      <c r="C37" s="73" t="s">
        <v>93</v>
      </c>
      <c r="D37" s="79" t="e">
        <f>VLOOKUP(TRUE,$C$3:$AI$4,30,0)</f>
        <v>#REF!</v>
      </c>
      <c r="E37" s="58">
        <v>0</v>
      </c>
    </row>
    <row r="38" spans="3:5">
      <c r="C38" s="73" t="s">
        <v>95</v>
      </c>
      <c r="D38" s="79" t="e">
        <f>VLOOKUP(TRUE,$C$3:$AI$4,31,0)</f>
        <v>#REF!</v>
      </c>
      <c r="E38" s="58">
        <v>0</v>
      </c>
    </row>
    <row r="39" spans="3:5">
      <c r="C39" s="73" t="s">
        <v>97</v>
      </c>
      <c r="D39" s="79" t="e">
        <f>VLOOKUP(TRUE,$C$3:$AI$4,32,0)</f>
        <v>#REF!</v>
      </c>
      <c r="E39" s="58">
        <v>0</v>
      </c>
    </row>
    <row r="40" spans="3:5">
      <c r="C40" s="73" t="s">
        <v>99</v>
      </c>
      <c r="D40" s="79" t="e">
        <f>VLOOKUP(TRUE,$C$3:$AI$4,33,0)</f>
        <v>#REF!</v>
      </c>
      <c r="E40" s="58">
        <v>0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E22"/>
  <sheetViews>
    <sheetView zoomScaleNormal="100" workbookViewId="0">
      <selection activeCell="G2" sqref="G2"/>
    </sheetView>
  </sheetViews>
  <sheetFormatPr defaultColWidth="11.42578125" defaultRowHeight="12.75"/>
  <cols>
    <col min="1" max="5" width="40.7109375" customWidth="1"/>
  </cols>
  <sheetData>
    <row r="1" spans="1:5" ht="19.5" customHeight="1">
      <c r="A1" s="31" t="str">
        <f>CONCATENATE("Part ",COLUMN())</f>
        <v>Part 1</v>
      </c>
      <c r="B1" s="31" t="str">
        <f t="shared" ref="B1:E1" si="0">CONCATENATE("Part ",COLUMN())</f>
        <v>Part 2</v>
      </c>
      <c r="C1" s="31" t="str">
        <f t="shared" si="0"/>
        <v>Part 3</v>
      </c>
      <c r="D1" s="31" t="str">
        <f t="shared" si="0"/>
        <v>Part 4</v>
      </c>
      <c r="E1" s="31" t="str">
        <f t="shared" si="0"/>
        <v>Part 5</v>
      </c>
    </row>
    <row r="2" spans="1:5" ht="202.5" customHeight="1">
      <c r="A2" s="32"/>
      <c r="B2" s="32"/>
      <c r="C2" s="32"/>
      <c r="D2" s="32"/>
      <c r="E2" s="32"/>
    </row>
    <row r="3" spans="1:5">
      <c r="A3" s="32"/>
      <c r="B3" s="32"/>
      <c r="C3" s="32"/>
      <c r="D3" s="32"/>
      <c r="E3" s="32"/>
    </row>
    <row r="4" spans="1:5" ht="15" customHeight="1">
      <c r="A4" s="22" t="str">
        <f>CONCATENATE("Part ",COLUMN()+5)</f>
        <v>Part 6</v>
      </c>
      <c r="B4" s="22" t="str">
        <f>CONCATENATE("Part ",COLUMN()+5)</f>
        <v>Part 7</v>
      </c>
      <c r="C4" s="22" t="str">
        <f>CONCATENATE("Part ",COLUMN()+5)</f>
        <v>Part 8</v>
      </c>
      <c r="D4" s="22" t="str">
        <f>CONCATENATE("Part ",COLUMN()+5)</f>
        <v>Part 9</v>
      </c>
      <c r="E4" s="22" t="str">
        <f>CONCATENATE("Part ",COLUMN()+5)</f>
        <v>Part 10</v>
      </c>
    </row>
    <row r="5" spans="1:5" ht="202.5" customHeight="1">
      <c r="A5" s="23"/>
      <c r="B5" s="23"/>
      <c r="C5" s="23"/>
      <c r="D5" s="23"/>
      <c r="E5" s="23"/>
    </row>
    <row r="6" spans="1:5">
      <c r="A6" s="23"/>
      <c r="B6" s="23"/>
      <c r="C6" s="23"/>
      <c r="D6" s="23"/>
      <c r="E6" s="23"/>
    </row>
    <row r="7" spans="1:5">
      <c r="A7" s="33" t="str">
        <f>CONCATENATE("Part ",COLUMN()+10)</f>
        <v>Part 11</v>
      </c>
      <c r="B7" s="33" t="str">
        <f>CONCATENATE("Part ",COLUMN()+10)</f>
        <v>Part 12</v>
      </c>
      <c r="C7" s="33" t="str">
        <f>CONCATENATE("Part ",COLUMN()+10)</f>
        <v>Part 13</v>
      </c>
      <c r="D7" s="33" t="str">
        <f>CONCATENATE("Part ",COLUMN()+10)</f>
        <v>Part 14</v>
      </c>
      <c r="E7" s="33" t="str">
        <f>CONCATENATE("Part ",COLUMN()+10)</f>
        <v>Part 15</v>
      </c>
    </row>
    <row r="8" spans="1:5" ht="202.5" customHeight="1">
      <c r="A8" s="34"/>
      <c r="B8" s="34"/>
      <c r="C8" s="34"/>
      <c r="D8" s="34"/>
      <c r="E8" s="34"/>
    </row>
    <row r="9" spans="1:5">
      <c r="A9" s="34"/>
      <c r="B9" s="34"/>
      <c r="C9" s="34"/>
      <c r="D9" s="34"/>
      <c r="E9" s="34"/>
    </row>
    <row r="10" spans="1:5">
      <c r="A10" s="35" t="str">
        <f>CONCATENATE("Part ",COLUMN()+15)</f>
        <v>Part 16</v>
      </c>
      <c r="B10" s="35" t="str">
        <f>CONCATENATE("Part ",COLUMN()+15)</f>
        <v>Part 17</v>
      </c>
      <c r="C10" s="35" t="str">
        <f>CONCATENATE("Part ",COLUMN()+15)</f>
        <v>Part 18</v>
      </c>
      <c r="D10" s="35" t="str">
        <f>CONCATENATE("Part ",COLUMN()+15)</f>
        <v>Part 19</v>
      </c>
      <c r="E10" s="35" t="str">
        <f>CONCATENATE("Part ",COLUMN()+15)</f>
        <v>Part 20</v>
      </c>
    </row>
    <row r="11" spans="1:5" ht="202.5" customHeight="1">
      <c r="A11" s="36"/>
      <c r="B11" s="36"/>
      <c r="C11" s="36"/>
      <c r="D11" s="36"/>
      <c r="E11" s="36"/>
    </row>
    <row r="12" spans="1:5">
      <c r="A12" s="36"/>
      <c r="B12" s="36"/>
      <c r="C12" s="36"/>
      <c r="D12" s="36"/>
      <c r="E12" s="36"/>
    </row>
    <row r="13" spans="1:5">
      <c r="A13" s="37" t="str">
        <f>CONCATENATE("Part ",COLUMN()+20)</f>
        <v>Part 21</v>
      </c>
      <c r="B13" s="37" t="str">
        <f>CONCATENATE("Part ",COLUMN()+20)</f>
        <v>Part 22</v>
      </c>
      <c r="C13" s="37" t="str">
        <f>CONCATENATE("Part ",COLUMN()+20)</f>
        <v>Part 23</v>
      </c>
      <c r="D13" s="37" t="str">
        <f>CONCATENATE("Part ",COLUMN()+20)</f>
        <v>Part 24</v>
      </c>
      <c r="E13" s="37" t="str">
        <f>CONCATENATE("Part ",COLUMN()+20)</f>
        <v>Part 25</v>
      </c>
    </row>
    <row r="14" spans="1:5" ht="202.5" customHeight="1">
      <c r="A14" s="38"/>
      <c r="B14" s="38"/>
      <c r="C14" s="38"/>
      <c r="D14" s="38"/>
      <c r="E14" s="38"/>
    </row>
    <row r="15" spans="1:5">
      <c r="A15" s="38"/>
      <c r="B15" s="38"/>
      <c r="C15" s="38"/>
      <c r="D15" s="38"/>
      <c r="E15" s="38"/>
    </row>
    <row r="16" spans="1:5">
      <c r="A16" s="39" t="str">
        <f>CONCATENATE("Part ",COLUMN()+25)</f>
        <v>Part 26</v>
      </c>
      <c r="B16" s="39" t="str">
        <f>CONCATENATE("Part ",COLUMN()+25)</f>
        <v>Part 27</v>
      </c>
      <c r="C16" s="39" t="str">
        <f>CONCATENATE("Part ",COLUMN()+25)</f>
        <v>Part 28</v>
      </c>
      <c r="D16" s="39" t="str">
        <f>CONCATENATE("Part ",COLUMN()+25)</f>
        <v>Part 29</v>
      </c>
      <c r="E16" s="39" t="str">
        <f>CONCATENATE("Part ",COLUMN()+25)</f>
        <v>Part 30</v>
      </c>
    </row>
    <row r="17" spans="1:5" ht="202.5" customHeight="1">
      <c r="A17" s="40"/>
      <c r="B17" s="40"/>
      <c r="C17" s="40"/>
      <c r="D17" s="40"/>
      <c r="E17" s="40"/>
    </row>
    <row r="18" spans="1:5">
      <c r="A18" s="40"/>
      <c r="B18" s="40"/>
      <c r="C18" s="40"/>
      <c r="D18" s="40"/>
      <c r="E18" s="40"/>
    </row>
    <row r="19" spans="1:5">
      <c r="A19" s="50" t="str">
        <f>CONCATENATE("Part ",COLUMN()+30)</f>
        <v>Part 31</v>
      </c>
      <c r="B19" s="50" t="str">
        <f>CONCATENATE("Part ",COLUMN()+30)</f>
        <v>Part 32</v>
      </c>
      <c r="C19" s="8"/>
      <c r="D19" s="8"/>
      <c r="E19" s="8"/>
    </row>
    <row r="20" spans="1:5" ht="202.5" customHeight="1">
      <c r="A20" s="51"/>
      <c r="B20" s="51"/>
    </row>
    <row r="21" spans="1:5">
      <c r="A21" s="51"/>
      <c r="B21" s="51"/>
    </row>
    <row r="22" spans="1:5">
      <c r="A22" s="8"/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A60A51-0D0C-4523-BF1E-D250336BAE1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Wuerth Elektronik eiSos GmbH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Robert.Demharter@we-online.de;Jochen.Baier@we-online.de</dc:creator>
  <cp:keywords/>
  <dc:description/>
  <cp:lastModifiedBy>Xu, Pengda</cp:lastModifiedBy>
  <cp:revision/>
  <dcterms:created xsi:type="dcterms:W3CDTF">2003-12-11T15:14:54Z</dcterms:created>
  <dcterms:modified xsi:type="dcterms:W3CDTF">2025-03-21T13:03:15Z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1439399112</vt:i4>
  </property>
  <property fmtid="{D5CDD505-2E9C-101B-9397-08002B2CF9AE}" pid="3" name="_EmailSubject">
    <vt:lpwstr>Reflow Test report</vt:lpwstr>
  </property>
  <property fmtid="{D5CDD505-2E9C-101B-9397-08002B2CF9AE}" pid="4" name="_AuthorEmail">
    <vt:lpwstr>tim.muskat@we-online.de</vt:lpwstr>
  </property>
  <property fmtid="{D5CDD505-2E9C-101B-9397-08002B2CF9AE}" pid="5" name="_AuthorEmailDisplayName">
    <vt:lpwstr>Muskat, Tim</vt:lpwstr>
  </property>
  <property fmtid="{D5CDD505-2E9C-101B-9397-08002B2CF9AE}" pid="6" name="_PreviousAdHocReviewCycleID">
    <vt:i4>1439399112</vt:i4>
  </property>
  <property fmtid="{D5CDD505-2E9C-101B-9397-08002B2CF9AE}" pid="7" name="_ReviewingToolsShownOnce">
    <vt:lpwstr/>
  </property>
  <property fmtid="{D5CDD505-2E9C-101B-9397-08002B2CF9AE}" pid="8" name="TBCO_ScreenResolution">
    <vt:lpwstr>96 96 1680 1050</vt:lpwstr>
  </property>
</Properties>
</file>